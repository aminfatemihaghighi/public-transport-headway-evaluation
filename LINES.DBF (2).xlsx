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Lines_Analysis\"/>
    </mc:Choice>
  </mc:AlternateContent>
  <xr:revisionPtr revIDLastSave="0" documentId="13_ncr:1_{66D04B53-0EEA-4628-9526-D0788050DB51}" xr6:coauthVersionLast="47" xr6:coauthVersionMax="47" xr10:uidLastSave="{00000000-0000-0000-0000-000000000000}"/>
  <bookViews>
    <workbookView xWindow="-98" yWindow="-98" windowWidth="21795" windowHeight="12975" firstSheet="2" activeTab="6" xr2:uid="{C0372FC7-FC5E-49A2-84D2-B45A9288DA7F}"/>
  </bookViews>
  <sheets>
    <sheet name="Line_01" sheetId="5" r:id="rId1"/>
    <sheet name="LINES" sheetId="1" r:id="rId2"/>
    <sheet name="T_FLOW" sheetId="2" r:id="rId3"/>
    <sheet name="Line_02" sheetId="6" r:id="rId4"/>
    <sheet name="Line_03A" sheetId="7" r:id="rId5"/>
    <sheet name="Line_03B" sheetId="8" r:id="rId6"/>
    <sheet name="Line_04" sheetId="9" r:id="rId7"/>
    <sheet name="ONOFF" sheetId="3" r:id="rId8"/>
    <sheet name="PED_F" sheetId="4" r:id="rId9"/>
  </sheets>
  <definedNames>
    <definedName name="_xlnm.Database" localSheetId="7">ONOFF!$A$1:$D$124</definedName>
    <definedName name="_xlnm.Database" localSheetId="8">PED_F!$A$1:$N$228</definedName>
    <definedName name="_xlnm.Database" localSheetId="2">T_FLOW!$A$1:$L$110</definedName>
    <definedName name="_xlnm.Database">LINES!$A$1:$D$15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9" l="1"/>
  <c r="AA7" i="9"/>
  <c r="AC7" i="9"/>
  <c r="AD7" i="9" s="1"/>
  <c r="W14" i="9"/>
  <c r="X14" i="9"/>
  <c r="G87" i="3"/>
  <c r="AB18" i="9"/>
  <c r="AA26" i="9"/>
  <c r="W23" i="9"/>
  <c r="W22" i="9"/>
  <c r="W20" i="9"/>
  <c r="W19" i="9"/>
  <c r="W26" i="9"/>
  <c r="W25" i="9"/>
  <c r="AG6" i="9"/>
  <c r="AA11" i="9"/>
  <c r="AC11" i="9" s="1"/>
  <c r="AH6" i="9"/>
  <c r="AI6" i="9"/>
  <c r="Y6" i="9"/>
  <c r="AA6" i="9" s="1"/>
  <c r="AC6" i="9" s="1"/>
  <c r="AD6" i="9" s="1"/>
  <c r="V7" i="9"/>
  <c r="V8" i="9"/>
  <c r="S46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28" i="9"/>
  <c r="S29" i="9"/>
  <c r="S27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3" i="9"/>
  <c r="T34" i="9"/>
  <c r="T35" i="9" s="1"/>
  <c r="T32" i="9"/>
  <c r="T33" i="9" s="1"/>
  <c r="T30" i="9"/>
  <c r="T31" i="9" s="1"/>
  <c r="T28" i="9"/>
  <c r="T29" i="9" s="1"/>
  <c r="T18" i="9"/>
  <c r="T19" i="9" s="1"/>
  <c r="T16" i="9"/>
  <c r="T17" i="9" s="1"/>
  <c r="T14" i="9"/>
  <c r="T15" i="9" s="1"/>
  <c r="T12" i="9"/>
  <c r="T13" i="9" s="1"/>
  <c r="T10" i="9"/>
  <c r="T11" i="9" s="1"/>
  <c r="T8" i="9"/>
  <c r="T9" i="9" s="1"/>
  <c r="R31" i="9"/>
  <c r="R32" i="9" s="1"/>
  <c r="R29" i="9"/>
  <c r="R30" i="9" s="1"/>
  <c r="R13" i="9"/>
  <c r="R14" i="9" s="1"/>
  <c r="R11" i="9"/>
  <c r="R12" i="9" s="1"/>
  <c r="R9" i="9"/>
  <c r="R10" i="9" s="1"/>
  <c r="T3" i="9"/>
  <c r="P24" i="9"/>
  <c r="T46" i="9" s="1"/>
  <c r="P16" i="9"/>
  <c r="P17" i="9"/>
  <c r="P18" i="9"/>
  <c r="P19" i="9"/>
  <c r="T36" i="9" s="1"/>
  <c r="T37" i="9" s="1"/>
  <c r="P20" i="9"/>
  <c r="T38" i="9" s="1"/>
  <c r="T39" i="9" s="1"/>
  <c r="P21" i="9"/>
  <c r="T40" i="9" s="1"/>
  <c r="T41" i="9" s="1"/>
  <c r="P22" i="9"/>
  <c r="T42" i="9" s="1"/>
  <c r="T43" i="9" s="1"/>
  <c r="P23" i="9"/>
  <c r="T44" i="9" s="1"/>
  <c r="T45" i="9" s="1"/>
  <c r="P15" i="9"/>
  <c r="P14" i="9"/>
  <c r="T26" i="9" s="1"/>
  <c r="T27" i="9" s="1"/>
  <c r="O13" i="9"/>
  <c r="R23" i="9" s="1"/>
  <c r="R24" i="9" s="1"/>
  <c r="P4" i="9"/>
  <c r="T6" i="9" s="1"/>
  <c r="T7" i="9" s="1"/>
  <c r="P5" i="9"/>
  <c r="P6" i="9"/>
  <c r="P7" i="9"/>
  <c r="P8" i="9"/>
  <c r="P9" i="9"/>
  <c r="P10" i="9"/>
  <c r="P11" i="9"/>
  <c r="T20" i="9" s="1"/>
  <c r="T21" i="9" s="1"/>
  <c r="P12" i="9"/>
  <c r="T22" i="9" s="1"/>
  <c r="T23" i="9" s="1"/>
  <c r="P13" i="9"/>
  <c r="T24" i="9" s="1"/>
  <c r="T25" i="9" s="1"/>
  <c r="P3" i="9"/>
  <c r="T4" i="9" s="1"/>
  <c r="T5" i="9" s="1"/>
  <c r="O16" i="9"/>
  <c r="O17" i="9"/>
  <c r="O18" i="9"/>
  <c r="R33" i="9" s="1"/>
  <c r="R34" i="9" s="1"/>
  <c r="O19" i="9"/>
  <c r="R35" i="9" s="1"/>
  <c r="R36" i="9" s="1"/>
  <c r="O21" i="9"/>
  <c r="R39" i="9" s="1"/>
  <c r="R40" i="9" s="1"/>
  <c r="O22" i="9"/>
  <c r="R41" i="9" s="1"/>
  <c r="R42" i="9" s="1"/>
  <c r="O7" i="9"/>
  <c r="O8" i="9"/>
  <c r="H21" i="9"/>
  <c r="O24" i="9" s="1"/>
  <c r="R45" i="9" s="1"/>
  <c r="R46" i="9" s="1"/>
  <c r="G21" i="9"/>
  <c r="O23" i="9" s="1"/>
  <c r="R43" i="9" s="1"/>
  <c r="R44" i="9" s="1"/>
  <c r="H20" i="9"/>
  <c r="G20" i="9"/>
  <c r="H19" i="9"/>
  <c r="G19" i="9"/>
  <c r="H18" i="9"/>
  <c r="G18" i="9"/>
  <c r="O20" i="9" s="1"/>
  <c r="R37" i="9" s="1"/>
  <c r="R38" i="9" s="1"/>
  <c r="H17" i="9"/>
  <c r="G17" i="9"/>
  <c r="H16" i="9"/>
  <c r="G16" i="9"/>
  <c r="H15" i="9"/>
  <c r="G15" i="9"/>
  <c r="H14" i="9"/>
  <c r="G14" i="9"/>
  <c r="H13" i="9"/>
  <c r="G13" i="9"/>
  <c r="O15" i="9" s="1"/>
  <c r="R27" i="9" s="1"/>
  <c r="R28" i="9" s="1"/>
  <c r="H12" i="9"/>
  <c r="O14" i="9" s="1"/>
  <c r="R25" i="9" s="1"/>
  <c r="R26" i="9" s="1"/>
  <c r="G12" i="9"/>
  <c r="H11" i="9"/>
  <c r="G11" i="9"/>
  <c r="O12" i="9" s="1"/>
  <c r="R21" i="9" s="1"/>
  <c r="R22" i="9" s="1"/>
  <c r="H10" i="9"/>
  <c r="G10" i="9"/>
  <c r="O11" i="9" s="1"/>
  <c r="R19" i="9" s="1"/>
  <c r="R20" i="9" s="1"/>
  <c r="H9" i="9"/>
  <c r="G9" i="9"/>
  <c r="O10" i="9" s="1"/>
  <c r="R17" i="9" s="1"/>
  <c r="R18" i="9" s="1"/>
  <c r="H8" i="9"/>
  <c r="G8" i="9"/>
  <c r="O9" i="9" s="1"/>
  <c r="R15" i="9" s="1"/>
  <c r="R16" i="9" s="1"/>
  <c r="H7" i="9"/>
  <c r="G7" i="9"/>
  <c r="H6" i="9"/>
  <c r="G6" i="9"/>
  <c r="H5" i="9"/>
  <c r="G5" i="9"/>
  <c r="O6" i="9" s="1"/>
  <c r="H4" i="9"/>
  <c r="G4" i="9"/>
  <c r="O5" i="9" s="1"/>
  <c r="R7" i="9" s="1"/>
  <c r="R8" i="9" s="1"/>
  <c r="H3" i="9"/>
  <c r="G3" i="9"/>
  <c r="O4" i="9" s="1"/>
  <c r="R5" i="9" s="1"/>
  <c r="R6" i="9" s="1"/>
  <c r="H2" i="9"/>
  <c r="G2" i="9"/>
  <c r="O3" i="9" s="1"/>
  <c r="R3" i="9" s="1"/>
  <c r="R4" i="9" s="1"/>
  <c r="AC5" i="8"/>
  <c r="AD5" i="8"/>
  <c r="AA5" i="8"/>
  <c r="Y5" i="8"/>
  <c r="W13" i="8"/>
  <c r="V13" i="8"/>
  <c r="W34" i="2"/>
  <c r="V23" i="8"/>
  <c r="V26" i="8"/>
  <c r="V29" i="8"/>
  <c r="AA23" i="8"/>
  <c r="AB23" i="8" s="1"/>
  <c r="AA31" i="8" s="1"/>
  <c r="AH4" i="8"/>
  <c r="AG4" i="8"/>
  <c r="AI4" i="8" s="1"/>
  <c r="AA9" i="8"/>
  <c r="AC9" i="8" s="1"/>
  <c r="Y4" i="8"/>
  <c r="AA4" i="8" s="1"/>
  <c r="AC4" i="8" s="1"/>
  <c r="AD4" i="8" s="1"/>
  <c r="V6" i="8"/>
  <c r="V5" i="8"/>
  <c r="V3" i="8"/>
  <c r="U6" i="8"/>
  <c r="U5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R36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S4" i="8"/>
  <c r="S3" i="8"/>
  <c r="R4" i="8"/>
  <c r="R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3" i="8"/>
  <c r="O19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3" i="8"/>
  <c r="H17" i="8"/>
  <c r="G17" i="8"/>
  <c r="H16" i="8"/>
  <c r="G16" i="8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H3" i="8"/>
  <c r="G3" i="8"/>
  <c r="H2" i="8"/>
  <c r="G2" i="8"/>
  <c r="AA25" i="7"/>
  <c r="V20" i="7"/>
  <c r="V17" i="7"/>
  <c r="V23" i="7"/>
  <c r="AG4" i="7"/>
  <c r="G62" i="3"/>
  <c r="I62" i="3" s="1"/>
  <c r="K62" i="3" s="1"/>
  <c r="AA9" i="7"/>
  <c r="AC9" i="7" s="1"/>
  <c r="AH4" i="7"/>
  <c r="AI4" i="7"/>
  <c r="Y4" i="7"/>
  <c r="AA4" i="7"/>
  <c r="AC4" i="7" s="1"/>
  <c r="AD4" i="7" s="1"/>
  <c r="V5" i="7"/>
  <c r="V3" i="7"/>
  <c r="U6" i="7"/>
  <c r="U5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S5" i="7"/>
  <c r="S4" i="7"/>
  <c r="R5" i="7"/>
  <c r="R4" i="7"/>
  <c r="O11" i="7"/>
  <c r="P5" i="7"/>
  <c r="P6" i="7"/>
  <c r="P7" i="7"/>
  <c r="P8" i="7"/>
  <c r="P9" i="7"/>
  <c r="P10" i="7"/>
  <c r="P4" i="7"/>
  <c r="O5" i="7"/>
  <c r="O6" i="7"/>
  <c r="O7" i="7"/>
  <c r="O8" i="7"/>
  <c r="O9" i="7"/>
  <c r="O10" i="7"/>
  <c r="O4" i="7"/>
  <c r="H8" i="7"/>
  <c r="G8" i="7"/>
  <c r="H7" i="7"/>
  <c r="G7" i="7"/>
  <c r="H6" i="7"/>
  <c r="G6" i="7"/>
  <c r="H5" i="7"/>
  <c r="G5" i="7"/>
  <c r="H4" i="7"/>
  <c r="G4" i="7"/>
  <c r="H3" i="7"/>
  <c r="G3" i="7"/>
  <c r="H2" i="7"/>
  <c r="G2" i="7"/>
  <c r="AB19" i="6"/>
  <c r="AC19" i="6"/>
  <c r="AB27" i="6" s="1"/>
  <c r="W22" i="6"/>
  <c r="W19" i="6"/>
  <c r="W25" i="6"/>
  <c r="AG3" i="6"/>
  <c r="AH3" i="6"/>
  <c r="AI3" i="6"/>
  <c r="V7" i="6"/>
  <c r="V6" i="6"/>
  <c r="Y3" i="6"/>
  <c r="AA3" i="6"/>
  <c r="AC3" i="6" s="1"/>
  <c r="AD3" i="6" s="1"/>
  <c r="G99" i="3"/>
  <c r="I99" i="3" s="1"/>
  <c r="K99" i="3" s="1"/>
  <c r="I87" i="3"/>
  <c r="K87" i="3" s="1"/>
  <c r="G70" i="3"/>
  <c r="I70" i="3" s="1"/>
  <c r="K70" i="3" s="1"/>
  <c r="G50" i="3"/>
  <c r="I50" i="3" s="1"/>
  <c r="K50" i="3" s="1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3" i="6"/>
  <c r="S2" i="6"/>
  <c r="R25" i="6"/>
  <c r="T25" i="6"/>
  <c r="T24" i="6"/>
  <c r="R24" i="6"/>
  <c r="P13" i="6"/>
  <c r="O13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T2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R3" i="6"/>
  <c r="R2" i="6"/>
  <c r="P2" i="6"/>
  <c r="P3" i="6"/>
  <c r="P4" i="6"/>
  <c r="P5" i="6"/>
  <c r="P6" i="6"/>
  <c r="P7" i="6"/>
  <c r="P8" i="6"/>
  <c r="P9" i="6"/>
  <c r="P10" i="6"/>
  <c r="P11" i="6"/>
  <c r="P12" i="6"/>
  <c r="G2" i="6"/>
  <c r="H2" i="6"/>
  <c r="O8" i="6"/>
  <c r="O9" i="6"/>
  <c r="O5" i="6"/>
  <c r="O6" i="6"/>
  <c r="O2" i="6"/>
  <c r="H12" i="6"/>
  <c r="G12" i="6"/>
  <c r="O12" i="6" s="1"/>
  <c r="H11" i="6"/>
  <c r="G11" i="6"/>
  <c r="O11" i="6" s="1"/>
  <c r="H10" i="6"/>
  <c r="G10" i="6"/>
  <c r="O10" i="6" s="1"/>
  <c r="H9" i="6"/>
  <c r="G9" i="6"/>
  <c r="H8" i="6"/>
  <c r="G8" i="6"/>
  <c r="H7" i="6"/>
  <c r="G7" i="6"/>
  <c r="O7" i="6" s="1"/>
  <c r="H6" i="6"/>
  <c r="G6" i="6"/>
  <c r="H5" i="6"/>
  <c r="G5" i="6"/>
  <c r="H4" i="6"/>
  <c r="G4" i="6"/>
  <c r="O4" i="6" s="1"/>
  <c r="H3" i="6"/>
  <c r="G3" i="6"/>
  <c r="O3" i="6" s="1"/>
  <c r="AA50" i="2"/>
  <c r="AB42" i="2"/>
  <c r="AA42" i="2"/>
  <c r="W47" i="2"/>
  <c r="W50" i="2"/>
  <c r="W49" i="2"/>
  <c r="W46" i="2"/>
  <c r="W44" i="2"/>
  <c r="W43" i="2"/>
  <c r="J111" i="2"/>
  <c r="G32" i="3"/>
  <c r="I32" i="3" s="1"/>
  <c r="K32" i="3" s="1"/>
  <c r="AG26" i="2" s="1"/>
  <c r="S34" i="2"/>
  <c r="S35" i="2"/>
  <c r="S36" i="2"/>
  <c r="S37" i="2"/>
  <c r="S38" i="2"/>
  <c r="S39" i="2"/>
  <c r="S40" i="2"/>
  <c r="S41" i="2"/>
  <c r="T61" i="2"/>
  <c r="T59" i="2"/>
  <c r="T60" i="2" s="1"/>
  <c r="T57" i="2"/>
  <c r="T58" i="2" s="1"/>
  <c r="T55" i="2"/>
  <c r="T56" i="2" s="1"/>
  <c r="T53" i="2"/>
  <c r="T54" i="2" s="1"/>
  <c r="T51" i="2"/>
  <c r="T52" i="2" s="1"/>
  <c r="T49" i="2"/>
  <c r="T50" i="2" s="1"/>
  <c r="T47" i="2"/>
  <c r="T48" i="2" s="1"/>
  <c r="T45" i="2"/>
  <c r="T46" i="2" s="1"/>
  <c r="T44" i="2"/>
  <c r="R58" i="2"/>
  <c r="R59" i="2" s="1"/>
  <c r="R56" i="2"/>
  <c r="R57" i="2" s="1"/>
  <c r="R54" i="2"/>
  <c r="R55" i="2" s="1"/>
  <c r="R52" i="2"/>
  <c r="R53" i="2" s="1"/>
  <c r="R50" i="2"/>
  <c r="R51" i="2" s="1"/>
  <c r="R48" i="2"/>
  <c r="R49" i="2" s="1"/>
  <c r="R46" i="2"/>
  <c r="R47" i="2" s="1"/>
  <c r="O44" i="2"/>
  <c r="R44" i="2"/>
  <c r="R45" i="2" s="1"/>
  <c r="O52" i="2"/>
  <c r="R60" i="2" s="1"/>
  <c r="R61" i="2" s="1"/>
  <c r="T43" i="2"/>
  <c r="T26" i="2"/>
  <c r="R40" i="2"/>
  <c r="R41" i="2" s="1"/>
  <c r="R32" i="2"/>
  <c r="R33" i="2" s="1"/>
  <c r="S33" i="2" s="1"/>
  <c r="R30" i="2"/>
  <c r="R31" i="2" s="1"/>
  <c r="S31" i="2" s="1"/>
  <c r="P27" i="2"/>
  <c r="T29" i="2" s="1"/>
  <c r="T30" i="2" s="1"/>
  <c r="P28" i="2"/>
  <c r="T31" i="2" s="1"/>
  <c r="T32" i="2" s="1"/>
  <c r="P29" i="2"/>
  <c r="T33" i="2" s="1"/>
  <c r="T34" i="2" s="1"/>
  <c r="P30" i="2"/>
  <c r="T35" i="2" s="1"/>
  <c r="T36" i="2" s="1"/>
  <c r="P31" i="2"/>
  <c r="T37" i="2" s="1"/>
  <c r="T38" i="2" s="1"/>
  <c r="P32" i="2"/>
  <c r="T39" i="2" s="1"/>
  <c r="T40" i="2" s="1"/>
  <c r="P33" i="2"/>
  <c r="T41" i="2" s="1"/>
  <c r="T42" i="2" s="1"/>
  <c r="P26" i="2"/>
  <c r="T27" i="2" s="1"/>
  <c r="O34" i="2"/>
  <c r="R42" i="2" s="1"/>
  <c r="O28" i="2"/>
  <c r="O29" i="2"/>
  <c r="O30" i="2"/>
  <c r="R34" i="2" s="1"/>
  <c r="R35" i="2" s="1"/>
  <c r="O31" i="2"/>
  <c r="R36" i="2" s="1"/>
  <c r="R37" i="2" s="1"/>
  <c r="O32" i="2"/>
  <c r="R38" i="2" s="1"/>
  <c r="R39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O26" i="2" s="1"/>
  <c r="R26" i="2" s="1"/>
  <c r="G27" i="2"/>
  <c r="O27" i="2" s="1"/>
  <c r="R28" i="2" s="1"/>
  <c r="G28" i="2"/>
  <c r="G29" i="2"/>
  <c r="G30" i="2"/>
  <c r="G31" i="2"/>
  <c r="G32" i="2"/>
  <c r="G33" i="2"/>
  <c r="O33" i="2" s="1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H2" i="2"/>
  <c r="G2" i="2"/>
  <c r="AA18" i="9" l="1"/>
  <c r="AA17" i="7"/>
  <c r="AB17" i="7" s="1"/>
  <c r="R43" i="2"/>
  <c r="S43" i="2" s="1"/>
  <c r="S42" i="2"/>
  <c r="T28" i="2"/>
  <c r="X34" i="2"/>
  <c r="X37" i="2" s="1"/>
  <c r="Z37" i="2" s="1"/>
  <c r="AB37" i="2" s="1"/>
  <c r="R29" i="2"/>
  <c r="S29" i="2" s="1"/>
  <c r="S28" i="2"/>
  <c r="R27" i="2"/>
  <c r="S27" i="2" s="1"/>
  <c r="S26" i="2"/>
  <c r="S32" i="2"/>
  <c r="S30" i="2"/>
  <c r="S44" i="2" l="1"/>
  <c r="S61" i="2"/>
  <c r="V28" i="2" s="1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Y26" i="2" l="1"/>
  <c r="V29" i="2"/>
  <c r="Y27" i="2" l="1"/>
  <c r="AA27" i="2" s="1"/>
  <c r="AC27" i="2" s="1"/>
  <c r="AD27" i="2" s="1"/>
  <c r="AD37" i="2" s="1"/>
  <c r="AD38" i="2" s="1"/>
  <c r="AA26" i="2"/>
  <c r="AC26" i="2" s="1"/>
  <c r="AD26" i="2" s="1"/>
  <c r="AH26" i="2" s="1"/>
  <c r="AI26" i="2" s="1"/>
</calcChain>
</file>

<file path=xl/sharedStrings.xml><?xml version="1.0" encoding="utf-8"?>
<sst xmlns="http://schemas.openxmlformats.org/spreadsheetml/2006/main" count="465" uniqueCount="81">
  <si>
    <t>ROUTE_ID</t>
  </si>
  <si>
    <t>ROUTE_NAME</t>
  </si>
  <si>
    <t>HEADWAY</t>
  </si>
  <si>
    <t>CAPACITY</t>
  </si>
  <si>
    <t>Cumana_O</t>
  </si>
  <si>
    <t>Cumana_R</t>
  </si>
  <si>
    <t>Trenitalia_O</t>
  </si>
  <si>
    <t>Trenitalia_R</t>
  </si>
  <si>
    <t>ANM_O</t>
  </si>
  <si>
    <t>ANM_R</t>
  </si>
  <si>
    <t>Line_01_O</t>
  </si>
  <si>
    <t>Line_01_R</t>
  </si>
  <si>
    <t>Line_02</t>
  </si>
  <si>
    <t>Line_03A</t>
  </si>
  <si>
    <t>Line_03B</t>
  </si>
  <si>
    <t>Line_04_R</t>
  </si>
  <si>
    <t>Line_04_O</t>
  </si>
  <si>
    <t>Line_05</t>
  </si>
  <si>
    <t>VOC</t>
  </si>
  <si>
    <t>COST</t>
  </si>
  <si>
    <t>BASEIVTT</t>
  </si>
  <si>
    <t>FLOW</t>
  </si>
  <si>
    <t>TO_MP</t>
  </si>
  <si>
    <t>FROM_MP</t>
  </si>
  <si>
    <t>CENTROID</t>
  </si>
  <si>
    <t>TO_STOP</t>
  </si>
  <si>
    <t>FROM_STOP</t>
  </si>
  <si>
    <t>ROUTE</t>
  </si>
  <si>
    <t>OFF</t>
  </si>
  <si>
    <t>ON</t>
  </si>
  <si>
    <t>STOP</t>
  </si>
  <si>
    <t>Pedestrian</t>
  </si>
  <si>
    <t>Railways</t>
  </si>
  <si>
    <t>Real</t>
  </si>
  <si>
    <t>Connectors</t>
  </si>
  <si>
    <t>connectors</t>
  </si>
  <si>
    <t>TOT_FLOW</t>
  </si>
  <si>
    <t>BA_FLOW</t>
  </si>
  <si>
    <t>AB_FLOW</t>
  </si>
  <si>
    <t>ID1</t>
  </si>
  <si>
    <t>PT_TIME_BA</t>
  </si>
  <si>
    <t>PT_TIME_AB</t>
  </si>
  <si>
    <t>PED_TIME</t>
  </si>
  <si>
    <t>LENGTH_SIM</t>
  </si>
  <si>
    <t>ZONE</t>
  </si>
  <si>
    <t>TYPE_NAME</t>
  </si>
  <si>
    <t>TYPE</t>
  </si>
  <si>
    <t>DIR</t>
  </si>
  <si>
    <t>LENGTH</t>
  </si>
  <si>
    <t>ID</t>
  </si>
  <si>
    <t>FROM_KM</t>
  </si>
  <si>
    <t>TO_KM</t>
  </si>
  <si>
    <t>Disctance[km]</t>
  </si>
  <si>
    <t>Flow[pax/h]</t>
  </si>
  <si>
    <t>L[km]</t>
  </si>
  <si>
    <t>Freq.[bus/h</t>
  </si>
  <si>
    <t>bus-km/h</t>
  </si>
  <si>
    <t>cost[euro/km]</t>
  </si>
  <si>
    <t>Subsidde</t>
  </si>
  <si>
    <t>cost</t>
  </si>
  <si>
    <t>People</t>
  </si>
  <si>
    <t>Ticket</t>
  </si>
  <si>
    <t>Max Revenue</t>
  </si>
  <si>
    <t>Evasion</t>
  </si>
  <si>
    <t>Result</t>
  </si>
  <si>
    <t>Max pax</t>
  </si>
  <si>
    <t>Residual pax at pick hour</t>
  </si>
  <si>
    <t>costs</t>
  </si>
  <si>
    <t>R/C</t>
  </si>
  <si>
    <t>Rt_O</t>
  </si>
  <si>
    <t>RT_R</t>
  </si>
  <si>
    <t>Time[min]</t>
  </si>
  <si>
    <t>DT_O(st*time)</t>
  </si>
  <si>
    <t>DT_R(st*time)</t>
  </si>
  <si>
    <t>INT_R</t>
  </si>
  <si>
    <t>INT_O+ADDT</t>
  </si>
  <si>
    <t>CTmin</t>
  </si>
  <si>
    <t>Freq.</t>
  </si>
  <si>
    <t>Time[h]</t>
  </si>
  <si>
    <t>NB_line01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</si>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</sst>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33" borderId="0" xfId="0" applyNumberFormat="1" applyFill="1"/>
    <xf numFmtId="164" fontId="0" fillId="33" borderId="0" xfId="0" applyNumberFormat="1" applyFill="1"/>
    <xf numFmtId="1" fontId="0" fillId="34" borderId="0" xfId="0" applyNumberFormat="1" applyFill="1"/>
    <xf numFmtId="164" fontId="0" fillId="34" borderId="0" xfId="0" applyNumberFormat="1" applyFill="1"/>
    <xf numFmtId="164" fontId="16" fillId="0" borderId="0" xfId="0" applyNumberFormat="1" applyFont="1"/>
    <xf numFmtId="164" fontId="16" fillId="33" borderId="0" xfId="0" applyNumberFormat="1" applyFont="1" applyFill="1"/>
    <xf numFmtId="164" fontId="16" fillId="34" borderId="0" xfId="0" applyNumberFormat="1" applyFont="1" applyFill="1"/>
    <xf numFmtId="164" fontId="0" fillId="35" borderId="0" xfId="0" applyNumberFormat="1" applyFill="1"/>
    <xf numFmtId="0" fontId="0" fillId="35" borderId="0" xfId="0" applyFill="1"/>
    <xf numFmtId="164" fontId="0" fillId="36" borderId="0" xfId="0" applyNumberFormat="1" applyFill="1"/>
    <xf numFmtId="0" fontId="0" fillId="36" borderId="0" xfId="0" applyFill="1"/>
    <xf numFmtId="1" fontId="0" fillId="35" borderId="0" xfId="0" applyNumberFormat="1" applyFill="1"/>
    <xf numFmtId="9" fontId="0" fillId="0" borderId="0" xfId="0" applyNumberFormat="1"/>
    <xf numFmtId="9" fontId="0" fillId="0" borderId="0" xfId="42" applyFont="1"/>
    <xf numFmtId="164" fontId="18" fillId="0" borderId="0" xfId="0" applyNumberFormat="1" applyFont="1"/>
    <xf numFmtId="164" fontId="18" fillId="33" borderId="0" xfId="0" applyNumberFormat="1" applyFont="1" applyFill="1"/>
    <xf numFmtId="164" fontId="18" fillId="34" borderId="0" xfId="0" applyNumberFormat="1" applyFont="1" applyFill="1"/>
    <xf numFmtId="1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164" fontId="0" fillId="37" borderId="0" xfId="0" applyNumberFormat="1" applyFill="1"/>
    <xf numFmtId="164" fontId="16" fillId="37" borderId="0" xfId="0" applyNumberFormat="1" applyFont="1" applyFill="1"/>
    <xf numFmtId="164" fontId="18" fillId="37" borderId="0" xfId="0" applyNumberFormat="1" applyFont="1" applyFill="1"/>
    <xf numFmtId="1" fontId="0" fillId="38" borderId="0" xfId="0" applyNumberFormat="1" applyFill="1"/>
    <xf numFmtId="2" fontId="0" fillId="38" borderId="0" xfId="0" applyNumberFormat="1" applyFill="1"/>
    <xf numFmtId="0" fontId="0" fillId="38" borderId="0" xfId="0" applyFill="1"/>
    <xf numFmtId="2" fontId="0" fillId="35" borderId="0" xfId="0" applyNumberFormat="1" applyFill="1"/>
    <xf numFmtId="1" fontId="0" fillId="39" borderId="0" xfId="0" applyNumberFormat="1" applyFill="1"/>
    <xf numFmtId="164" fontId="0" fillId="39" borderId="0" xfId="0" applyNumberFormat="1" applyFill="1"/>
    <xf numFmtId="164" fontId="16" fillId="39" borderId="0" xfId="0" applyNumberFormat="1" applyFont="1" applyFill="1"/>
    <xf numFmtId="164" fontId="18" fillId="39" borderId="0" xfId="0" applyNumberFormat="1" applyFont="1" applyFill="1"/>
    <xf numFmtId="1" fontId="0" fillId="40" borderId="0" xfId="0" applyNumberFormat="1" applyFill="1"/>
    <xf numFmtId="164" fontId="0" fillId="40" borderId="0" xfId="0" applyNumberFormat="1" applyFill="1"/>
    <xf numFmtId="164" fontId="16" fillId="40" borderId="0" xfId="0" applyNumberFormat="1" applyFont="1" applyFill="1"/>
    <xf numFmtId="164" fontId="18" fillId="40" borderId="0" xfId="0" applyNumberFormat="1" applyFont="1" applyFill="1"/>
    <xf numFmtId="2" fontId="0" fillId="40" borderId="0" xfId="0" applyNumberFormat="1" applyFill="1"/>
    <xf numFmtId="0" fontId="0" fillId="40" borderId="0" xfId="0" applyFill="1"/>
    <xf numFmtId="2" fontId="0" fillId="39" borderId="0" xfId="0" applyNumberFormat="1" applyFill="1"/>
    <xf numFmtId="0" fontId="0" fillId="39" borderId="0" xfId="0" applyFill="1"/>
    <xf numFmtId="1" fontId="0" fillId="41" borderId="0" xfId="0" applyNumberFormat="1" applyFill="1"/>
    <xf numFmtId="164" fontId="0" fillId="41" borderId="0" xfId="0" applyNumberFormat="1" applyFill="1"/>
    <xf numFmtId="164" fontId="16" fillId="41" borderId="0" xfId="0" applyNumberFormat="1" applyFont="1" applyFill="1"/>
    <xf numFmtId="164" fontId="18" fillId="41" borderId="0" xfId="0" applyNumberFormat="1" applyFont="1" applyFill="1"/>
    <xf numFmtId="1" fontId="0" fillId="42" borderId="0" xfId="0" applyNumberFormat="1" applyFill="1"/>
    <xf numFmtId="164" fontId="0" fillId="42" borderId="0" xfId="0" applyNumberFormat="1" applyFill="1"/>
    <xf numFmtId="164" fontId="16" fillId="42" borderId="0" xfId="0" applyNumberFormat="1" applyFont="1" applyFill="1"/>
    <xf numFmtId="164" fontId="18" fillId="42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Line_01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M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OD</c:v>
          </c:tx>
          <c:spPr>
            <a:ln w="444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T_FLOW!$S$26:$S$43</c:f>
              <c:numCache>
                <c:formatCode>0.0000</c:formatCode>
                <c:ptCount val="18"/>
                <c:pt idx="0">
                  <c:v>1.1214E-3</c:v>
                </c:pt>
                <c:pt idx="1">
                  <c:v>1.1214E-3</c:v>
                </c:pt>
                <c:pt idx="2">
                  <c:v>0.57752100000000006</c:v>
                </c:pt>
                <c:pt idx="3">
                  <c:v>0.57752100000000006</c:v>
                </c:pt>
                <c:pt idx="4">
                  <c:v>0.76159080000000001</c:v>
                </c:pt>
                <c:pt idx="5">
                  <c:v>0.76159080000000001</c:v>
                </c:pt>
                <c:pt idx="6">
                  <c:v>0.88366319999999998</c:v>
                </c:pt>
                <c:pt idx="7">
                  <c:v>0.88366319999999998</c:v>
                </c:pt>
                <c:pt idx="8">
                  <c:v>1.1024964000000002</c:v>
                </c:pt>
                <c:pt idx="9">
                  <c:v>1.1024964000000002</c:v>
                </c:pt>
                <c:pt idx="10">
                  <c:v>1.2260106</c:v>
                </c:pt>
                <c:pt idx="11">
                  <c:v>1.2260106</c:v>
                </c:pt>
                <c:pt idx="12">
                  <c:v>1.5382404000000001</c:v>
                </c:pt>
                <c:pt idx="13">
                  <c:v>1.5382404000000001</c:v>
                </c:pt>
                <c:pt idx="14">
                  <c:v>1.838295</c:v>
                </c:pt>
                <c:pt idx="15">
                  <c:v>1.838295</c:v>
                </c:pt>
                <c:pt idx="16">
                  <c:v>1.9586052</c:v>
                </c:pt>
                <c:pt idx="17">
                  <c:v>1.9586052</c:v>
                </c:pt>
              </c:numCache>
            </c:numRef>
          </c:xVal>
          <c:yVal>
            <c:numRef>
              <c:f>T_FLOW!$T$26:$T$43</c:f>
              <c:numCache>
                <c:formatCode>0.0000</c:formatCode>
                <c:ptCount val="18"/>
                <c:pt idx="0" formatCode="General">
                  <c:v>0</c:v>
                </c:pt>
                <c:pt idx="1">
                  <c:v>371.04250000000002</c:v>
                </c:pt>
                <c:pt idx="2">
                  <c:v>371.04250000000002</c:v>
                </c:pt>
                <c:pt idx="3">
                  <c:v>382.10750000000002</c:v>
                </c:pt>
                <c:pt idx="4">
                  <c:v>382.10750000000002</c:v>
                </c:pt>
                <c:pt idx="5">
                  <c:v>403.39249999999998</c:v>
                </c:pt>
                <c:pt idx="6">
                  <c:v>403.39249999999998</c:v>
                </c:pt>
                <c:pt idx="7">
                  <c:v>414.3125</c:v>
                </c:pt>
                <c:pt idx="8">
                  <c:v>414.3125</c:v>
                </c:pt>
                <c:pt idx="9">
                  <c:v>414.94499999999999</c:v>
                </c:pt>
                <c:pt idx="10">
                  <c:v>414.94499999999999</c:v>
                </c:pt>
                <c:pt idx="11">
                  <c:v>418.98500000000001</c:v>
                </c:pt>
                <c:pt idx="12">
                  <c:v>418.98500000000001</c:v>
                </c:pt>
                <c:pt idx="13">
                  <c:v>22.57</c:v>
                </c:pt>
                <c:pt idx="14">
                  <c:v>22.57</c:v>
                </c:pt>
                <c:pt idx="15">
                  <c:v>9.2550000000000008</c:v>
                </c:pt>
                <c:pt idx="16">
                  <c:v>9.2550000000000008</c:v>
                </c:pt>
                <c:pt idx="17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B-472D-83E9-B6E8B8745CB0}"/>
            </c:ext>
          </c:extLst>
        </c:ser>
        <c:ser>
          <c:idx val="1"/>
          <c:order val="1"/>
          <c:tx>
            <c:v>RD</c:v>
          </c:tx>
          <c:spPr>
            <a:ln w="444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T_FLOW!$S$44:$S$61</c:f>
              <c:numCache>
                <c:formatCode>0.0000</c:formatCode>
                <c:ptCount val="18"/>
                <c:pt idx="0">
                  <c:v>1.9586052</c:v>
                </c:pt>
                <c:pt idx="1">
                  <c:v>1.9586052</c:v>
                </c:pt>
                <c:pt idx="2">
                  <c:v>2.0550456000000001</c:v>
                </c:pt>
                <c:pt idx="3">
                  <c:v>2.0550456000000001</c:v>
                </c:pt>
                <c:pt idx="4">
                  <c:v>2.3379588</c:v>
                </c:pt>
                <c:pt idx="5">
                  <c:v>2.3379588</c:v>
                </c:pt>
                <c:pt idx="6">
                  <c:v>2.5276356</c:v>
                </c:pt>
                <c:pt idx="7">
                  <c:v>2.5276356</c:v>
                </c:pt>
                <c:pt idx="8">
                  <c:v>2.7552798000000003</c:v>
                </c:pt>
                <c:pt idx="9">
                  <c:v>2.7552798000000003</c:v>
                </c:pt>
                <c:pt idx="10">
                  <c:v>2.8778328000000002</c:v>
                </c:pt>
                <c:pt idx="11">
                  <c:v>2.8778328000000002</c:v>
                </c:pt>
                <c:pt idx="12">
                  <c:v>3.0500478000000002</c:v>
                </c:pt>
                <c:pt idx="13">
                  <c:v>3.0500478000000002</c:v>
                </c:pt>
                <c:pt idx="14">
                  <c:v>3.1536971999999999</c:v>
                </c:pt>
                <c:pt idx="15">
                  <c:v>3.1536971999999999</c:v>
                </c:pt>
                <c:pt idx="16">
                  <c:v>3.5080596000000002</c:v>
                </c:pt>
                <c:pt idx="17">
                  <c:v>3.5080596000000002</c:v>
                </c:pt>
              </c:numCache>
            </c:numRef>
          </c:xVal>
          <c:yVal>
            <c:numRef>
              <c:f>T_FLOW!$T$44:$T$61</c:f>
              <c:numCache>
                <c:formatCode>General</c:formatCode>
                <c:ptCount val="18"/>
                <c:pt idx="0">
                  <c:v>0</c:v>
                </c:pt>
                <c:pt idx="1">
                  <c:v>15.025</c:v>
                </c:pt>
                <c:pt idx="2">
                  <c:v>15.025</c:v>
                </c:pt>
                <c:pt idx="3">
                  <c:v>156.495</c:v>
                </c:pt>
                <c:pt idx="4">
                  <c:v>156.495</c:v>
                </c:pt>
                <c:pt idx="5">
                  <c:v>199.6</c:v>
                </c:pt>
                <c:pt idx="6">
                  <c:v>199.6</c:v>
                </c:pt>
                <c:pt idx="7">
                  <c:v>202.845</c:v>
                </c:pt>
                <c:pt idx="8">
                  <c:v>202.845</c:v>
                </c:pt>
                <c:pt idx="9">
                  <c:v>203.91749999999999</c:v>
                </c:pt>
                <c:pt idx="10">
                  <c:v>203.91749999999999</c:v>
                </c:pt>
                <c:pt idx="11">
                  <c:v>178.08</c:v>
                </c:pt>
                <c:pt idx="12">
                  <c:v>178.08</c:v>
                </c:pt>
                <c:pt idx="13">
                  <c:v>159.66499999999999</c:v>
                </c:pt>
                <c:pt idx="14">
                  <c:v>159.66499999999999</c:v>
                </c:pt>
                <c:pt idx="15">
                  <c:v>159.6575</c:v>
                </c:pt>
                <c:pt idx="16">
                  <c:v>159.6575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2B-472D-83E9-B6E8B8745CB0}"/>
            </c:ext>
          </c:extLst>
        </c:ser>
        <c:ser>
          <c:idx val="2"/>
          <c:order val="2"/>
          <c:tx>
            <c:v>Cap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T_FLOW!$V$26:$V$29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 formatCode="0.0000">
                  <c:v>3.5080596000000002</c:v>
                </c:pt>
                <c:pt idx="3" formatCode="0.0000">
                  <c:v>3.5080596000000002</c:v>
                </c:pt>
              </c:numCache>
            </c:numRef>
          </c:xVal>
          <c:yVal>
            <c:numRef>
              <c:f>T_FLOW!$W$26:$W$29</c:f>
              <c:numCache>
                <c:formatCode>General</c:formatCode>
                <c:ptCount val="4"/>
                <c:pt idx="0">
                  <c:v>0</c:v>
                </c:pt>
                <c:pt idx="1">
                  <c:v>320</c:v>
                </c:pt>
                <c:pt idx="2">
                  <c:v>320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2B-472D-83E9-B6E8B8745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197759"/>
        <c:axId val="478195839"/>
      </c:scatterChart>
      <c:valAx>
        <c:axId val="47819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478195839"/>
        <c:crosses val="autoZero"/>
        <c:crossBetween val="midCat"/>
      </c:valAx>
      <c:valAx>
        <c:axId val="47819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47819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M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Line_02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M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Line_02!$S$2:$S$25</c:f>
              <c:numCache>
                <c:formatCode>0.0000</c:formatCode>
                <c:ptCount val="24"/>
                <c:pt idx="0">
                  <c:v>1.6020000000000002E-4</c:v>
                </c:pt>
                <c:pt idx="1">
                  <c:v>3.2040000000000004E-4</c:v>
                </c:pt>
                <c:pt idx="2">
                  <c:v>0.65521800000000008</c:v>
                </c:pt>
                <c:pt idx="3">
                  <c:v>0.65521800000000008</c:v>
                </c:pt>
                <c:pt idx="4">
                  <c:v>1.1737854000000001</c:v>
                </c:pt>
                <c:pt idx="5">
                  <c:v>1.1737854000000001</c:v>
                </c:pt>
                <c:pt idx="6">
                  <c:v>1.2598128000000002</c:v>
                </c:pt>
                <c:pt idx="7">
                  <c:v>1.2598128000000002</c:v>
                </c:pt>
                <c:pt idx="8">
                  <c:v>1.407357</c:v>
                </c:pt>
                <c:pt idx="9">
                  <c:v>1.407357</c:v>
                </c:pt>
                <c:pt idx="10">
                  <c:v>1.6567884000000002</c:v>
                </c:pt>
                <c:pt idx="11">
                  <c:v>1.6567884000000002</c:v>
                </c:pt>
                <c:pt idx="12">
                  <c:v>1.8636066000000002</c:v>
                </c:pt>
                <c:pt idx="13">
                  <c:v>1.8636066000000002</c:v>
                </c:pt>
                <c:pt idx="14">
                  <c:v>2.1032658</c:v>
                </c:pt>
                <c:pt idx="15">
                  <c:v>2.1032658</c:v>
                </c:pt>
                <c:pt idx="16">
                  <c:v>2.3925870000000002</c:v>
                </c:pt>
                <c:pt idx="17">
                  <c:v>2.3925870000000002</c:v>
                </c:pt>
                <c:pt idx="18">
                  <c:v>2.8733472</c:v>
                </c:pt>
                <c:pt idx="19">
                  <c:v>2.8733472</c:v>
                </c:pt>
                <c:pt idx="20">
                  <c:v>2.8909691999999998</c:v>
                </c:pt>
                <c:pt idx="21">
                  <c:v>2.8909691999999998</c:v>
                </c:pt>
                <c:pt idx="22">
                  <c:v>3.1416822</c:v>
                </c:pt>
                <c:pt idx="23">
                  <c:v>3.1416822</c:v>
                </c:pt>
              </c:numCache>
            </c:numRef>
          </c:xVal>
          <c:yVal>
            <c:numRef>
              <c:f>Line_02!$T$2:$T$25</c:f>
              <c:numCache>
                <c:formatCode>0.0000</c:formatCode>
                <c:ptCount val="24"/>
                <c:pt idx="0" formatCode="General">
                  <c:v>0</c:v>
                </c:pt>
                <c:pt idx="1">
                  <c:v>201.4325</c:v>
                </c:pt>
                <c:pt idx="2">
                  <c:v>201.4325</c:v>
                </c:pt>
                <c:pt idx="3">
                  <c:v>337.66250000000002</c:v>
                </c:pt>
                <c:pt idx="4">
                  <c:v>337.66250000000002</c:v>
                </c:pt>
                <c:pt idx="5">
                  <c:v>344.78500000000003</c:v>
                </c:pt>
                <c:pt idx="6">
                  <c:v>344.78500000000003</c:v>
                </c:pt>
                <c:pt idx="7">
                  <c:v>350.8075</c:v>
                </c:pt>
                <c:pt idx="8">
                  <c:v>350.8075</c:v>
                </c:pt>
                <c:pt idx="9">
                  <c:v>237.11750000000001</c:v>
                </c:pt>
                <c:pt idx="10">
                  <c:v>237.11750000000001</c:v>
                </c:pt>
                <c:pt idx="11">
                  <c:v>222.35499999999999</c:v>
                </c:pt>
                <c:pt idx="12">
                  <c:v>222.35499999999999</c:v>
                </c:pt>
                <c:pt idx="13">
                  <c:v>233.85249999999999</c:v>
                </c:pt>
                <c:pt idx="14">
                  <c:v>233.85249999999999</c:v>
                </c:pt>
                <c:pt idx="15">
                  <c:v>185.97499999999999</c:v>
                </c:pt>
                <c:pt idx="16">
                  <c:v>185.97499999999999</c:v>
                </c:pt>
                <c:pt idx="17">
                  <c:v>183.44</c:v>
                </c:pt>
                <c:pt idx="18">
                  <c:v>183.44</c:v>
                </c:pt>
                <c:pt idx="19">
                  <c:v>160.02500000000001</c:v>
                </c:pt>
                <c:pt idx="20">
                  <c:v>160.02500000000001</c:v>
                </c:pt>
                <c:pt idx="21">
                  <c:v>160.02500000000001</c:v>
                </c:pt>
                <c:pt idx="22">
                  <c:v>160.02500000000001</c:v>
                </c:pt>
                <c:pt idx="23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B-41A6-A2B5-94376C0674A9}"/>
            </c:ext>
          </c:extLst>
        </c:ser>
        <c:ser>
          <c:idx val="1"/>
          <c:order val="1"/>
          <c:tx>
            <c:v>Cap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Line_02!$V$4:$V$7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 formatCode="0.0000">
                  <c:v>3.1416822</c:v>
                </c:pt>
                <c:pt idx="3" formatCode="0.0000">
                  <c:v>3.1416822</c:v>
                </c:pt>
              </c:numCache>
            </c:numRef>
          </c:xVal>
          <c:yVal>
            <c:numRef>
              <c:f>Line_02!$W$4:$W$7</c:f>
              <c:numCache>
                <c:formatCode>General</c:formatCode>
                <c:ptCount val="4"/>
                <c:pt idx="0">
                  <c:v>0</c:v>
                </c:pt>
                <c:pt idx="1">
                  <c:v>320</c:v>
                </c:pt>
                <c:pt idx="2">
                  <c:v>320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B-41A6-A2B5-94376C067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40879"/>
        <c:axId val="1784747183"/>
      </c:scatterChart>
      <c:valAx>
        <c:axId val="3044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1784747183"/>
        <c:crosses val="autoZero"/>
        <c:crossBetween val="midCat"/>
      </c:valAx>
      <c:valAx>
        <c:axId val="178474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30440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M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96590283237807"/>
          <c:y val="0.12346373600863754"/>
          <c:w val="0.83134539808616392"/>
          <c:h val="0.7715026581220934"/>
        </c:manualLayout>
      </c:layout>
      <c:scatterChart>
        <c:scatterStyle val="lineMarker"/>
        <c:varyColors val="0"/>
        <c:ser>
          <c:idx val="0"/>
          <c:order val="0"/>
          <c:tx>
            <c:v>Line_03A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Line_03A!$R$4:$R$19</c:f>
              <c:numCache>
                <c:formatCode>0.0000</c:formatCode>
                <c:ptCount val="16"/>
                <c:pt idx="0">
                  <c:v>1.7622000000000002E-3</c:v>
                </c:pt>
                <c:pt idx="1">
                  <c:v>1.7622000000000002E-3</c:v>
                </c:pt>
                <c:pt idx="2">
                  <c:v>0.29252520000000004</c:v>
                </c:pt>
                <c:pt idx="3">
                  <c:v>0.29252520000000004</c:v>
                </c:pt>
                <c:pt idx="4">
                  <c:v>0.67796640000000008</c:v>
                </c:pt>
                <c:pt idx="5">
                  <c:v>0.67796640000000008</c:v>
                </c:pt>
                <c:pt idx="6">
                  <c:v>1.0842335999999999</c:v>
                </c:pt>
                <c:pt idx="7">
                  <c:v>1.0842335999999999</c:v>
                </c:pt>
                <c:pt idx="8">
                  <c:v>1.989684</c:v>
                </c:pt>
                <c:pt idx="9">
                  <c:v>1.989684</c:v>
                </c:pt>
                <c:pt idx="10">
                  <c:v>2.4154956000000003</c:v>
                </c:pt>
                <c:pt idx="11">
                  <c:v>2.4154956000000003</c:v>
                </c:pt>
                <c:pt idx="12">
                  <c:v>2.8145538000000001</c:v>
                </c:pt>
                <c:pt idx="13">
                  <c:v>2.8145538000000001</c:v>
                </c:pt>
                <c:pt idx="14">
                  <c:v>3.0844908000000002</c:v>
                </c:pt>
                <c:pt idx="15">
                  <c:v>3.0844908000000002</c:v>
                </c:pt>
              </c:numCache>
            </c:numRef>
          </c:xVal>
          <c:yVal>
            <c:numRef>
              <c:f>Line_03A!$S$4:$S$19</c:f>
              <c:numCache>
                <c:formatCode>0.0000</c:formatCode>
                <c:ptCount val="16"/>
                <c:pt idx="0" formatCode="General">
                  <c:v>0</c:v>
                </c:pt>
                <c:pt idx="1">
                  <c:v>79.907499999999999</c:v>
                </c:pt>
                <c:pt idx="2">
                  <c:v>79.907499999999999</c:v>
                </c:pt>
                <c:pt idx="3">
                  <c:v>111.50749999999999</c:v>
                </c:pt>
                <c:pt idx="4">
                  <c:v>111.50749999999999</c:v>
                </c:pt>
                <c:pt idx="5">
                  <c:v>190.88499999999999</c:v>
                </c:pt>
                <c:pt idx="6">
                  <c:v>190.88499999999999</c:v>
                </c:pt>
                <c:pt idx="7">
                  <c:v>194.715</c:v>
                </c:pt>
                <c:pt idx="8">
                  <c:v>194.715</c:v>
                </c:pt>
                <c:pt idx="9">
                  <c:v>189.41749999999999</c:v>
                </c:pt>
                <c:pt idx="10">
                  <c:v>189.41749999999999</c:v>
                </c:pt>
                <c:pt idx="11">
                  <c:v>233.64750000000001</c:v>
                </c:pt>
                <c:pt idx="12">
                  <c:v>233.64750000000001</c:v>
                </c:pt>
                <c:pt idx="13">
                  <c:v>206.155</c:v>
                </c:pt>
                <c:pt idx="14">
                  <c:v>206.155</c:v>
                </c:pt>
                <c:pt idx="1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CD-4310-A85A-1F6AA4BB7E9C}"/>
            </c:ext>
          </c:extLst>
        </c:ser>
        <c:ser>
          <c:idx val="1"/>
          <c:order val="1"/>
          <c:tx>
            <c:v>Cap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Line_03A!$U$3:$U$6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 formatCode="0.0000">
                  <c:v>3.0844908000000002</c:v>
                </c:pt>
                <c:pt idx="3" formatCode="0.0000">
                  <c:v>3.0844908000000002</c:v>
                </c:pt>
              </c:numCache>
            </c:numRef>
          </c:xVal>
          <c:yVal>
            <c:numRef>
              <c:f>Line_03A!$V$3:$V$6</c:f>
              <c:numCache>
                <c:formatCode>General</c:formatCode>
                <c:ptCount val="4"/>
                <c:pt idx="0">
                  <c:v>0</c:v>
                </c:pt>
                <c:pt idx="1">
                  <c:v>320</c:v>
                </c:pt>
                <c:pt idx="2">
                  <c:v>320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CD-4310-A85A-1F6AA4BB7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263264"/>
        <c:axId val="770265184"/>
      </c:scatterChart>
      <c:valAx>
        <c:axId val="77026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770265184"/>
        <c:crosses val="autoZero"/>
        <c:crossBetween val="midCat"/>
      </c:valAx>
      <c:valAx>
        <c:axId val="7702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77026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M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025371828521441E-2"/>
          <c:y val="2.5428331875182269E-2"/>
          <c:w val="0.85539129483814524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v>Line_03B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Line_03B!$R$3:$R$36</c:f>
              <c:numCache>
                <c:formatCode>0.0000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5.9274000000000002E-3</c:v>
                </c:pt>
                <c:pt idx="3">
                  <c:v>5.9274000000000002E-3</c:v>
                </c:pt>
                <c:pt idx="4">
                  <c:v>1.1931696000000001</c:v>
                </c:pt>
                <c:pt idx="5">
                  <c:v>1.1931696000000001</c:v>
                </c:pt>
                <c:pt idx="6">
                  <c:v>1.4650290000000001</c:v>
                </c:pt>
                <c:pt idx="7">
                  <c:v>1.4650290000000001</c:v>
                </c:pt>
                <c:pt idx="8">
                  <c:v>1.8613637999999999</c:v>
                </c:pt>
                <c:pt idx="9">
                  <c:v>1.8613637999999999</c:v>
                </c:pt>
                <c:pt idx="10">
                  <c:v>2.2868550000000001</c:v>
                </c:pt>
                <c:pt idx="11">
                  <c:v>2.2868550000000001</c:v>
                </c:pt>
                <c:pt idx="12">
                  <c:v>3.1966308000000003</c:v>
                </c:pt>
                <c:pt idx="13">
                  <c:v>3.1966308000000003</c:v>
                </c:pt>
                <c:pt idx="14">
                  <c:v>3.6078642000000003</c:v>
                </c:pt>
                <c:pt idx="15">
                  <c:v>3.6078642000000003</c:v>
                </c:pt>
                <c:pt idx="16">
                  <c:v>3.8850102000000004</c:v>
                </c:pt>
                <c:pt idx="17">
                  <c:v>3.8850102000000004</c:v>
                </c:pt>
                <c:pt idx="18">
                  <c:v>4.0985567999999999</c:v>
                </c:pt>
                <c:pt idx="19">
                  <c:v>4.0985567999999999</c:v>
                </c:pt>
                <c:pt idx="20">
                  <c:v>4.2230322000000005</c:v>
                </c:pt>
                <c:pt idx="21">
                  <c:v>4.2230322000000005</c:v>
                </c:pt>
                <c:pt idx="22">
                  <c:v>4.4699004000000002</c:v>
                </c:pt>
                <c:pt idx="23">
                  <c:v>4.4699004000000002</c:v>
                </c:pt>
                <c:pt idx="24">
                  <c:v>4.6371492000000005</c:v>
                </c:pt>
                <c:pt idx="25">
                  <c:v>4.6371492000000005</c:v>
                </c:pt>
                <c:pt idx="26">
                  <c:v>4.7475269999999998</c:v>
                </c:pt>
                <c:pt idx="27">
                  <c:v>4.7475269999999998</c:v>
                </c:pt>
                <c:pt idx="28">
                  <c:v>4.8731238000000001</c:v>
                </c:pt>
                <c:pt idx="29">
                  <c:v>4.8731238000000001</c:v>
                </c:pt>
                <c:pt idx="30">
                  <c:v>5.2484723999999998</c:v>
                </c:pt>
                <c:pt idx="31">
                  <c:v>5.2484723999999998</c:v>
                </c:pt>
                <c:pt idx="32">
                  <c:v>5.4315810000000004</c:v>
                </c:pt>
                <c:pt idx="33">
                  <c:v>5.4315810000000004</c:v>
                </c:pt>
              </c:numCache>
            </c:numRef>
          </c:xVal>
          <c:yVal>
            <c:numRef>
              <c:f>Line_03B!$S$3:$S$36</c:f>
              <c:numCache>
                <c:formatCode>0.0000</c:formatCode>
                <c:ptCount val="34"/>
                <c:pt idx="0" formatCode="General">
                  <c:v>0</c:v>
                </c:pt>
                <c:pt idx="1">
                  <c:v>86.265000000000001</c:v>
                </c:pt>
                <c:pt idx="2">
                  <c:v>86.265000000000001</c:v>
                </c:pt>
                <c:pt idx="3">
                  <c:v>86.265000000000001</c:v>
                </c:pt>
                <c:pt idx="4">
                  <c:v>86.265000000000001</c:v>
                </c:pt>
                <c:pt idx="5">
                  <c:v>49.232500000000002</c:v>
                </c:pt>
                <c:pt idx="6">
                  <c:v>49.232500000000002</c:v>
                </c:pt>
                <c:pt idx="7">
                  <c:v>104.185</c:v>
                </c:pt>
                <c:pt idx="8">
                  <c:v>104.185</c:v>
                </c:pt>
                <c:pt idx="9">
                  <c:v>390.15499999999997</c:v>
                </c:pt>
                <c:pt idx="10">
                  <c:v>390.15499999999997</c:v>
                </c:pt>
                <c:pt idx="11">
                  <c:v>444.9425</c:v>
                </c:pt>
                <c:pt idx="12">
                  <c:v>444.9425</c:v>
                </c:pt>
                <c:pt idx="13">
                  <c:v>488.44499999999999</c:v>
                </c:pt>
                <c:pt idx="14">
                  <c:v>488.44499999999999</c:v>
                </c:pt>
                <c:pt idx="15">
                  <c:v>491.50749999999999</c:v>
                </c:pt>
                <c:pt idx="16">
                  <c:v>491.50749999999999</c:v>
                </c:pt>
                <c:pt idx="17">
                  <c:v>441.29</c:v>
                </c:pt>
                <c:pt idx="18">
                  <c:v>441.29</c:v>
                </c:pt>
                <c:pt idx="19">
                  <c:v>464.51</c:v>
                </c:pt>
                <c:pt idx="20">
                  <c:v>464.51</c:v>
                </c:pt>
                <c:pt idx="21">
                  <c:v>459.6275</c:v>
                </c:pt>
                <c:pt idx="22">
                  <c:v>459.6275</c:v>
                </c:pt>
                <c:pt idx="23">
                  <c:v>424.46</c:v>
                </c:pt>
                <c:pt idx="24">
                  <c:v>424.46</c:v>
                </c:pt>
                <c:pt idx="25">
                  <c:v>420.32749999999999</c:v>
                </c:pt>
                <c:pt idx="26">
                  <c:v>420.32749999999999</c:v>
                </c:pt>
                <c:pt idx="27">
                  <c:v>410.34500000000003</c:v>
                </c:pt>
                <c:pt idx="28">
                  <c:v>410.34500000000003</c:v>
                </c:pt>
                <c:pt idx="29">
                  <c:v>409.39749999999998</c:v>
                </c:pt>
                <c:pt idx="30">
                  <c:v>409.39749999999998</c:v>
                </c:pt>
                <c:pt idx="31">
                  <c:v>86.515000000000001</c:v>
                </c:pt>
                <c:pt idx="32">
                  <c:v>86.515000000000001</c:v>
                </c:pt>
                <c:pt idx="33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DA-4368-9F5B-0D3B8854AD0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Line_03B!$U$3:$U$6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 formatCode="0.0000">
                  <c:v>5.4315810000000004</c:v>
                </c:pt>
                <c:pt idx="3" formatCode="0.0000">
                  <c:v>5.4315810000000004</c:v>
                </c:pt>
              </c:numCache>
            </c:numRef>
          </c:xVal>
          <c:yVal>
            <c:numRef>
              <c:f>Line_03B!$V$3:$V$6</c:f>
              <c:numCache>
                <c:formatCode>General</c:formatCode>
                <c:ptCount val="4"/>
                <c:pt idx="0">
                  <c:v>0</c:v>
                </c:pt>
                <c:pt idx="1">
                  <c:v>320</c:v>
                </c:pt>
                <c:pt idx="2">
                  <c:v>320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DA-4368-9F5B-0D3B8854A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237824"/>
        <c:axId val="770260864"/>
      </c:scatterChart>
      <c:valAx>
        <c:axId val="77023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770260864"/>
        <c:crosses val="autoZero"/>
        <c:crossBetween val="midCat"/>
      </c:valAx>
      <c:valAx>
        <c:axId val="77026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77023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M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</c:v>
          </c:tx>
          <c:spPr>
            <a:ln w="317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Line_04!$S$3:$S$26</c:f>
              <c:numCache>
                <c:formatCode>0.0000</c:formatCode>
                <c:ptCount val="24"/>
                <c:pt idx="0">
                  <c:v>1.6020000000000002E-4</c:v>
                </c:pt>
                <c:pt idx="1">
                  <c:v>1.6020000000000002E-4</c:v>
                </c:pt>
                <c:pt idx="2">
                  <c:v>0.25103340000000002</c:v>
                </c:pt>
                <c:pt idx="3">
                  <c:v>0.25103340000000002</c:v>
                </c:pt>
                <c:pt idx="4">
                  <c:v>0.74701260000000003</c:v>
                </c:pt>
                <c:pt idx="5">
                  <c:v>0.74701260000000003</c:v>
                </c:pt>
                <c:pt idx="6">
                  <c:v>1.0395378000000002</c:v>
                </c:pt>
                <c:pt idx="7">
                  <c:v>1.0395378000000002</c:v>
                </c:pt>
                <c:pt idx="8">
                  <c:v>1.4685534</c:v>
                </c:pt>
                <c:pt idx="9">
                  <c:v>1.4685534</c:v>
                </c:pt>
                <c:pt idx="10">
                  <c:v>1.4703155999999999</c:v>
                </c:pt>
                <c:pt idx="11">
                  <c:v>1.4703155999999999</c:v>
                </c:pt>
                <c:pt idx="12">
                  <c:v>1.5920676</c:v>
                </c:pt>
                <c:pt idx="13">
                  <c:v>1.5920676</c:v>
                </c:pt>
                <c:pt idx="14">
                  <c:v>1.5949512000000001</c:v>
                </c:pt>
                <c:pt idx="15">
                  <c:v>1.5949512000000001</c:v>
                </c:pt>
                <c:pt idx="16">
                  <c:v>1.9028556000000001</c:v>
                </c:pt>
                <c:pt idx="17">
                  <c:v>1.9028556000000001</c:v>
                </c:pt>
                <c:pt idx="18">
                  <c:v>2.0874060000000001</c:v>
                </c:pt>
                <c:pt idx="19">
                  <c:v>2.0874060000000001</c:v>
                </c:pt>
                <c:pt idx="20">
                  <c:v>2.2041917999999998</c:v>
                </c:pt>
                <c:pt idx="21">
                  <c:v>2.2041917999999998</c:v>
                </c:pt>
                <c:pt idx="22">
                  <c:v>2.3245020000000003</c:v>
                </c:pt>
                <c:pt idx="23">
                  <c:v>2.3245020000000003</c:v>
                </c:pt>
              </c:numCache>
            </c:numRef>
          </c:xVal>
          <c:yVal>
            <c:numRef>
              <c:f>Line_04!$T$3:$T$26</c:f>
              <c:numCache>
                <c:formatCode>0.0000</c:formatCode>
                <c:ptCount val="24"/>
                <c:pt idx="0" formatCode="General">
                  <c:v>0</c:v>
                </c:pt>
                <c:pt idx="1">
                  <c:v>162.42750000000001</c:v>
                </c:pt>
                <c:pt idx="2">
                  <c:v>162.42750000000001</c:v>
                </c:pt>
                <c:pt idx="3">
                  <c:v>266.88499999999999</c:v>
                </c:pt>
                <c:pt idx="4">
                  <c:v>266.88499999999999</c:v>
                </c:pt>
                <c:pt idx="5">
                  <c:v>354.78750000000002</c:v>
                </c:pt>
                <c:pt idx="6">
                  <c:v>354.78750000000002</c:v>
                </c:pt>
                <c:pt idx="7">
                  <c:v>369.22750000000002</c:v>
                </c:pt>
                <c:pt idx="8">
                  <c:v>369.22750000000002</c:v>
                </c:pt>
                <c:pt idx="9">
                  <c:v>341.98250000000002</c:v>
                </c:pt>
                <c:pt idx="10">
                  <c:v>341.98250000000002</c:v>
                </c:pt>
                <c:pt idx="11">
                  <c:v>341.98250000000002</c:v>
                </c:pt>
                <c:pt idx="12">
                  <c:v>341.98250000000002</c:v>
                </c:pt>
                <c:pt idx="13">
                  <c:v>339.98</c:v>
                </c:pt>
                <c:pt idx="14">
                  <c:v>339.98</c:v>
                </c:pt>
                <c:pt idx="15">
                  <c:v>339.98</c:v>
                </c:pt>
                <c:pt idx="16">
                  <c:v>339.98</c:v>
                </c:pt>
                <c:pt idx="17">
                  <c:v>134.63249999999999</c:v>
                </c:pt>
                <c:pt idx="18">
                  <c:v>134.63249999999999</c:v>
                </c:pt>
                <c:pt idx="19">
                  <c:v>92.137500000000003</c:v>
                </c:pt>
                <c:pt idx="20">
                  <c:v>92.137500000000003</c:v>
                </c:pt>
                <c:pt idx="21">
                  <c:v>39.520000000000003</c:v>
                </c:pt>
                <c:pt idx="22">
                  <c:v>39.520000000000003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D2-4DAD-9ECC-D05912A8FEBB}"/>
            </c:ext>
          </c:extLst>
        </c:ser>
        <c:ser>
          <c:idx val="1"/>
          <c:order val="1"/>
          <c:tx>
            <c:v>R</c:v>
          </c:tx>
          <c:spPr>
            <a:ln w="3175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Line_04!$S$27:$S$46</c:f>
              <c:numCache>
                <c:formatCode>0.0000</c:formatCode>
                <c:ptCount val="20"/>
                <c:pt idx="0">
                  <c:v>2.3245020000000003</c:v>
                </c:pt>
                <c:pt idx="1">
                  <c:v>2.3245020000000003</c:v>
                </c:pt>
                <c:pt idx="2">
                  <c:v>2.4209424000000004</c:v>
                </c:pt>
                <c:pt idx="3">
                  <c:v>2.4209424000000004</c:v>
                </c:pt>
                <c:pt idx="4">
                  <c:v>2.4228648000000002</c:v>
                </c:pt>
                <c:pt idx="5">
                  <c:v>2.4228648000000002</c:v>
                </c:pt>
                <c:pt idx="6">
                  <c:v>2.7038556000000002</c:v>
                </c:pt>
                <c:pt idx="7">
                  <c:v>2.7038556000000002</c:v>
                </c:pt>
                <c:pt idx="8">
                  <c:v>2.7060984000000001</c:v>
                </c:pt>
                <c:pt idx="9">
                  <c:v>2.7060984000000001</c:v>
                </c:pt>
                <c:pt idx="10">
                  <c:v>2.8935324000000002</c:v>
                </c:pt>
                <c:pt idx="11">
                  <c:v>2.8935324000000002</c:v>
                </c:pt>
                <c:pt idx="12">
                  <c:v>3.2256270000000002</c:v>
                </c:pt>
                <c:pt idx="13">
                  <c:v>3.2256270000000002</c:v>
                </c:pt>
                <c:pt idx="14">
                  <c:v>3.5489106000000001</c:v>
                </c:pt>
                <c:pt idx="15">
                  <c:v>3.5489106000000001</c:v>
                </c:pt>
                <c:pt idx="16">
                  <c:v>3.6794736000000006</c:v>
                </c:pt>
                <c:pt idx="17">
                  <c:v>3.6794736000000006</c:v>
                </c:pt>
                <c:pt idx="18">
                  <c:v>4.3994124000000001</c:v>
                </c:pt>
                <c:pt idx="19">
                  <c:v>4.3994124000000001</c:v>
                </c:pt>
              </c:numCache>
            </c:numRef>
          </c:xVal>
          <c:yVal>
            <c:numRef>
              <c:f>Line_04!$T$27:$T$46</c:f>
              <c:numCache>
                <c:formatCode>0.0000</c:formatCode>
                <c:ptCount val="20"/>
                <c:pt idx="0">
                  <c:v>0</c:v>
                </c:pt>
                <c:pt idx="1">
                  <c:v>9.9525000000000006</c:v>
                </c:pt>
                <c:pt idx="2">
                  <c:v>9.9525000000000006</c:v>
                </c:pt>
                <c:pt idx="3">
                  <c:v>43.414999999999999</c:v>
                </c:pt>
                <c:pt idx="4">
                  <c:v>43.414999999999999</c:v>
                </c:pt>
                <c:pt idx="5">
                  <c:v>43.414999999999999</c:v>
                </c:pt>
                <c:pt idx="6">
                  <c:v>43.414999999999999</c:v>
                </c:pt>
                <c:pt idx="7">
                  <c:v>45.127499999999998</c:v>
                </c:pt>
                <c:pt idx="8">
                  <c:v>45.127499999999998</c:v>
                </c:pt>
                <c:pt idx="9">
                  <c:v>45.127499999999998</c:v>
                </c:pt>
                <c:pt idx="10">
                  <c:v>45.127499999999998</c:v>
                </c:pt>
                <c:pt idx="11">
                  <c:v>67.680000000000007</c:v>
                </c:pt>
                <c:pt idx="12">
                  <c:v>67.680000000000007</c:v>
                </c:pt>
                <c:pt idx="13">
                  <c:v>76.047499999999999</c:v>
                </c:pt>
                <c:pt idx="14">
                  <c:v>76.047499999999999</c:v>
                </c:pt>
                <c:pt idx="15">
                  <c:v>93.42</c:v>
                </c:pt>
                <c:pt idx="16">
                  <c:v>93.42</c:v>
                </c:pt>
                <c:pt idx="17">
                  <c:v>97.35</c:v>
                </c:pt>
                <c:pt idx="18">
                  <c:v>97.35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D2-4DAD-9ECC-D05912A8FEBB}"/>
            </c:ext>
          </c:extLst>
        </c:ser>
        <c:ser>
          <c:idx val="2"/>
          <c:order val="2"/>
          <c:tx>
            <c:v>Cap</c:v>
          </c:tx>
          <c:spPr>
            <a:ln w="31750" cap="rnd">
              <a:solidFill>
                <a:srgbClr val="EE0000"/>
              </a:solidFill>
              <a:round/>
            </a:ln>
            <a:effectLst/>
          </c:spPr>
          <c:marker>
            <c:symbol val="none"/>
          </c:marker>
          <c:xVal>
            <c:numRef>
              <c:f>Line_04!$V$5:$V$8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 formatCode="0.0000">
                  <c:v>4.3994124000000001</c:v>
                </c:pt>
                <c:pt idx="3" formatCode="0.0000">
                  <c:v>4.3994124000000001</c:v>
                </c:pt>
              </c:numCache>
            </c:numRef>
          </c:xVal>
          <c:yVal>
            <c:numRef>
              <c:f>Line_04!$W$5:$W$8</c:f>
              <c:numCache>
                <c:formatCode>General</c:formatCode>
                <c:ptCount val="4"/>
                <c:pt idx="0">
                  <c:v>0</c:v>
                </c:pt>
                <c:pt idx="1">
                  <c:v>320</c:v>
                </c:pt>
                <c:pt idx="2">
                  <c:v>320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D2-4DAD-9ECC-D05912A8F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659344"/>
        <c:axId val="1155643024"/>
      </c:scatterChart>
      <c:valAx>
        <c:axId val="115565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1155643024"/>
        <c:crosses val="autoZero"/>
        <c:crossBetween val="midCat"/>
      </c:valAx>
      <c:valAx>
        <c:axId val="115564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115565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A68A1FC-B0AB-496D-817A-BF0CC2BC8810}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214" cy="607218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802CD-BB88-DCDF-1D62-F5B4C453FD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535653</xdr:colOff>
      <xdr:row>6</xdr:row>
      <xdr:rowOff>110919</xdr:rowOff>
    </xdr:from>
    <xdr:to>
      <xdr:col>36</xdr:col>
      <xdr:colOff>590959</xdr:colOff>
      <xdr:row>21</xdr:row>
      <xdr:rowOff>165610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28F0-5328-FC7C-A60F-21E0E4276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73818</xdr:colOff>
      <xdr:row>13</xdr:row>
      <xdr:rowOff>38100</xdr:rowOff>
    </xdr:from>
    <xdr:to>
      <xdr:col>35</xdr:col>
      <xdr:colOff>481013</xdr:colOff>
      <xdr:row>26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48EC1-0CA0-953C-6255-1A4325FA1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502444</xdr:colOff>
      <xdr:row>18</xdr:row>
      <xdr:rowOff>104774</xdr:rowOff>
    </xdr:from>
    <xdr:to>
      <xdr:col>36</xdr:col>
      <xdr:colOff>540544</xdr:colOff>
      <xdr:row>33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73720-E14B-5A9E-A739-0BBE1AAA2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375672</xdr:colOff>
      <xdr:row>15</xdr:row>
      <xdr:rowOff>29228</xdr:rowOff>
    </xdr:from>
    <xdr:to>
      <xdr:col>36</xdr:col>
      <xdr:colOff>413772</xdr:colOff>
      <xdr:row>30</xdr:row>
      <xdr:rowOff>57803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9AC30A-3FB9-699F-0F39-176BC68B9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9D58-7C95-4D52-BB96-D478A93F5223}">
  <dimension ref="A1:D15"/>
  <sheetViews>
    <sheetView workbookViewId="0">
      <selection activeCell="C20" sqref="C20"/>
    </sheetView>
  </sheetViews>
  <sheetFormatPr defaultRowHeight="14.25" x14ac:dyDescent="0.45"/>
  <cols>
    <col min="1" max="1" width="9.59765625" style="1" customWidth="1"/>
    <col min="2" max="2" width="32.59765625" style="1" customWidth="1"/>
    <col min="3" max="4" width="8.59765625" style="2" customWidth="1"/>
  </cols>
  <sheetData>
    <row r="1" spans="1:4" x14ac:dyDescent="0.4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45">
      <c r="A2" s="1">
        <v>1</v>
      </c>
      <c r="B2" s="1" t="s">
        <v>4</v>
      </c>
      <c r="C2" s="2">
        <v>15</v>
      </c>
      <c r="D2" s="2">
        <v>1152</v>
      </c>
    </row>
    <row r="3" spans="1:4" x14ac:dyDescent="0.45">
      <c r="A3" s="1">
        <v>2</v>
      </c>
      <c r="B3" s="1" t="s">
        <v>5</v>
      </c>
      <c r="C3" s="2">
        <v>15</v>
      </c>
      <c r="D3" s="2">
        <v>1152</v>
      </c>
    </row>
    <row r="4" spans="1:4" x14ac:dyDescent="0.45">
      <c r="A4" s="1">
        <v>3</v>
      </c>
      <c r="B4" s="1" t="s">
        <v>6</v>
      </c>
      <c r="C4" s="2">
        <v>15</v>
      </c>
      <c r="D4" s="2">
        <v>1536</v>
      </c>
    </row>
    <row r="5" spans="1:4" x14ac:dyDescent="0.45">
      <c r="A5" s="1">
        <v>4</v>
      </c>
      <c r="B5" s="1" t="s">
        <v>7</v>
      </c>
      <c r="C5" s="2">
        <v>15</v>
      </c>
      <c r="D5" s="2">
        <v>1536</v>
      </c>
    </row>
    <row r="6" spans="1:4" x14ac:dyDescent="0.45">
      <c r="A6" s="1">
        <v>5</v>
      </c>
      <c r="B6" s="1" t="s">
        <v>8</v>
      </c>
      <c r="C6" s="2">
        <v>13.5</v>
      </c>
      <c r="D6" s="2">
        <v>1049</v>
      </c>
    </row>
    <row r="7" spans="1:4" x14ac:dyDescent="0.45">
      <c r="A7" s="1">
        <v>6</v>
      </c>
      <c r="B7" s="1" t="s">
        <v>9</v>
      </c>
      <c r="C7" s="2">
        <v>13.5</v>
      </c>
      <c r="D7" s="2">
        <v>1049</v>
      </c>
    </row>
    <row r="8" spans="1:4" s="29" customFormat="1" x14ac:dyDescent="0.45">
      <c r="A8" s="27">
        <v>7</v>
      </c>
      <c r="B8" s="27" t="s">
        <v>10</v>
      </c>
      <c r="C8" s="28">
        <v>15</v>
      </c>
      <c r="D8" s="28">
        <v>320</v>
      </c>
    </row>
    <row r="9" spans="1:4" s="12" customFormat="1" x14ac:dyDescent="0.45">
      <c r="A9" s="15">
        <v>8</v>
      </c>
      <c r="B9" s="15" t="s">
        <v>11</v>
      </c>
      <c r="C9" s="30">
        <v>15</v>
      </c>
      <c r="D9" s="30">
        <v>320</v>
      </c>
    </row>
    <row r="10" spans="1:4" s="23" customFormat="1" x14ac:dyDescent="0.45">
      <c r="A10" s="21">
        <v>9</v>
      </c>
      <c r="B10" s="21" t="s">
        <v>12</v>
      </c>
      <c r="C10" s="22">
        <v>15</v>
      </c>
      <c r="D10" s="22">
        <v>320</v>
      </c>
    </row>
    <row r="11" spans="1:4" s="42" customFormat="1" x14ac:dyDescent="0.45">
      <c r="A11" s="31">
        <v>10</v>
      </c>
      <c r="B11" s="31" t="s">
        <v>13</v>
      </c>
      <c r="C11" s="41">
        <v>15</v>
      </c>
      <c r="D11" s="41">
        <v>320</v>
      </c>
    </row>
    <row r="12" spans="1:4" s="40" customFormat="1" x14ac:dyDescent="0.45">
      <c r="A12" s="35">
        <v>11</v>
      </c>
      <c r="B12" s="35" t="s">
        <v>14</v>
      </c>
      <c r="C12" s="39">
        <v>15</v>
      </c>
      <c r="D12" s="39">
        <v>320</v>
      </c>
    </row>
    <row r="13" spans="1:4" x14ac:dyDescent="0.45">
      <c r="A13" s="1">
        <v>12</v>
      </c>
      <c r="B13" s="1" t="s">
        <v>15</v>
      </c>
      <c r="C13" s="2">
        <v>15</v>
      </c>
      <c r="D13" s="2">
        <v>320</v>
      </c>
    </row>
    <row r="14" spans="1:4" x14ac:dyDescent="0.45">
      <c r="A14" s="1">
        <v>13</v>
      </c>
      <c r="B14" s="1" t="s">
        <v>16</v>
      </c>
      <c r="C14" s="2">
        <v>15</v>
      </c>
      <c r="D14" s="2">
        <v>320</v>
      </c>
    </row>
    <row r="15" spans="1:4" x14ac:dyDescent="0.45">
      <c r="A15" s="1">
        <v>14</v>
      </c>
      <c r="B15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AFF1-437C-4773-8637-F0E6A1BAA66C}">
  <dimension ref="A1:AI111"/>
  <sheetViews>
    <sheetView topLeftCell="N18" zoomScale="70" zoomScaleNormal="70" workbookViewId="0">
      <selection activeCell="V33" sqref="V33:X34"/>
    </sheetView>
  </sheetViews>
  <sheetFormatPr defaultRowHeight="14.25" x14ac:dyDescent="0.45"/>
  <cols>
    <col min="1" max="4" width="10.59765625" style="1" customWidth="1"/>
    <col min="5" max="6" width="15.59765625" style="3" customWidth="1"/>
    <col min="7" max="9" width="15.59765625" style="8" customWidth="1"/>
    <col min="10" max="10" width="15.59765625" style="18" customWidth="1"/>
    <col min="11" max="12" width="15.59765625" style="3" customWidth="1"/>
    <col min="18" max="18" width="12.53125" bestFit="1" customWidth="1"/>
    <col min="19" max="19" width="12.53125" customWidth="1"/>
    <col min="20" max="20" width="10" bestFit="1" customWidth="1"/>
  </cols>
  <sheetData>
    <row r="1" spans="1:12" x14ac:dyDescent="0.45">
      <c r="A1" s="1" t="s">
        <v>27</v>
      </c>
      <c r="B1" s="1" t="s">
        <v>26</v>
      </c>
      <c r="C1" s="1" t="s">
        <v>25</v>
      </c>
      <c r="D1" s="1" t="s">
        <v>24</v>
      </c>
      <c r="E1" s="3" t="s">
        <v>23</v>
      </c>
      <c r="F1" s="3" t="s">
        <v>22</v>
      </c>
      <c r="G1" s="8" t="s">
        <v>50</v>
      </c>
      <c r="H1" s="8" t="s">
        <v>51</v>
      </c>
      <c r="I1" s="8" t="s">
        <v>21</v>
      </c>
      <c r="J1" s="18" t="s">
        <v>20</v>
      </c>
      <c r="K1" s="3" t="s">
        <v>19</v>
      </c>
      <c r="L1" s="3" t="s">
        <v>18</v>
      </c>
    </row>
    <row r="2" spans="1:12" x14ac:dyDescent="0.45">
      <c r="A2" s="1">
        <v>1</v>
      </c>
      <c r="B2" s="1">
        <v>1</v>
      </c>
      <c r="C2" s="1">
        <v>2</v>
      </c>
      <c r="D2" s="1">
        <v>0</v>
      </c>
      <c r="E2" s="3">
        <v>0</v>
      </c>
      <c r="F2" s="3">
        <v>0.32690000000000002</v>
      </c>
      <c r="G2" s="8">
        <f>E2*1.602</f>
        <v>0</v>
      </c>
      <c r="H2" s="8">
        <f>F2*1.602</f>
        <v>0.5236938000000001</v>
      </c>
      <c r="I2" s="8">
        <v>300.5</v>
      </c>
      <c r="J2" s="18">
        <v>0.63129999999999997</v>
      </c>
      <c r="K2" s="3">
        <v>0.63129999999999997</v>
      </c>
      <c r="L2" s="3">
        <v>0.26090000000000002</v>
      </c>
    </row>
    <row r="3" spans="1:12" x14ac:dyDescent="0.45">
      <c r="A3" s="1">
        <v>1</v>
      </c>
      <c r="B3" s="1">
        <v>2</v>
      </c>
      <c r="C3" s="1">
        <v>3</v>
      </c>
      <c r="D3" s="1">
        <v>0</v>
      </c>
      <c r="E3" s="3">
        <v>0.32690000000000002</v>
      </c>
      <c r="F3" s="3">
        <v>0.69389999999999996</v>
      </c>
      <c r="G3" s="8">
        <f t="shared" ref="G3:G66" si="0">E3*1.602</f>
        <v>0.5236938000000001</v>
      </c>
      <c r="H3" s="8">
        <f t="shared" ref="H3:H66" si="1">F3*1.602</f>
        <v>1.1116277999999999</v>
      </c>
      <c r="I3" s="8">
        <v>400.1275</v>
      </c>
      <c r="J3" s="18">
        <v>0.7087</v>
      </c>
      <c r="K3" s="3">
        <v>0.7087</v>
      </c>
      <c r="L3" s="3">
        <v>0.3473</v>
      </c>
    </row>
    <row r="4" spans="1:12" x14ac:dyDescent="0.45">
      <c r="A4" s="1">
        <v>1</v>
      </c>
      <c r="B4" s="1">
        <v>3</v>
      </c>
      <c r="C4" s="1">
        <v>4</v>
      </c>
      <c r="D4" s="1">
        <v>0</v>
      </c>
      <c r="E4" s="3">
        <v>0.69389999999999996</v>
      </c>
      <c r="F4" s="3">
        <v>1.3793</v>
      </c>
      <c r="G4" s="8">
        <f t="shared" si="0"/>
        <v>1.1116277999999999</v>
      </c>
      <c r="H4" s="8">
        <f t="shared" si="1"/>
        <v>2.2096385999999999</v>
      </c>
      <c r="I4" s="8">
        <v>422.17750000000001</v>
      </c>
      <c r="J4" s="18">
        <v>1.3237000000000001</v>
      </c>
      <c r="K4" s="3">
        <v>1.3237000000000001</v>
      </c>
      <c r="L4" s="3">
        <v>0.36649999999999999</v>
      </c>
    </row>
    <row r="5" spans="1:12" x14ac:dyDescent="0.45">
      <c r="A5" s="1">
        <v>1</v>
      </c>
      <c r="B5" s="1">
        <v>4</v>
      </c>
      <c r="C5" s="1">
        <v>5</v>
      </c>
      <c r="D5" s="1">
        <v>0</v>
      </c>
      <c r="E5" s="3">
        <v>1.3793</v>
      </c>
      <c r="F5" s="3">
        <v>1.9500999999999999</v>
      </c>
      <c r="G5" s="8">
        <f t="shared" si="0"/>
        <v>2.2096385999999999</v>
      </c>
      <c r="H5" s="8">
        <f t="shared" si="1"/>
        <v>3.1240602000000002</v>
      </c>
      <c r="I5" s="8">
        <v>288.95749999999998</v>
      </c>
      <c r="J5" s="18">
        <v>1.1023000000000001</v>
      </c>
      <c r="K5" s="3">
        <v>1.1023000000000001</v>
      </c>
      <c r="L5" s="3">
        <v>0.25080000000000002</v>
      </c>
    </row>
    <row r="6" spans="1:12" x14ac:dyDescent="0.45">
      <c r="A6" s="1">
        <v>1</v>
      </c>
      <c r="B6" s="1">
        <v>5</v>
      </c>
      <c r="C6" s="1">
        <v>6</v>
      </c>
      <c r="D6" s="1">
        <v>0</v>
      </c>
      <c r="E6" s="3">
        <v>1.9500999999999999</v>
      </c>
      <c r="F6" s="3">
        <v>2.6067999999999998</v>
      </c>
      <c r="G6" s="8">
        <f t="shared" si="0"/>
        <v>3.1240602000000002</v>
      </c>
      <c r="H6" s="8">
        <f t="shared" si="1"/>
        <v>4.1760935999999997</v>
      </c>
      <c r="I6" s="8">
        <v>157.30000000000001</v>
      </c>
      <c r="J6" s="18">
        <v>1.2682</v>
      </c>
      <c r="K6" s="3">
        <v>1.2682</v>
      </c>
      <c r="L6" s="3">
        <v>0.13650000000000001</v>
      </c>
    </row>
    <row r="7" spans="1:12" x14ac:dyDescent="0.45">
      <c r="A7" s="1">
        <v>2</v>
      </c>
      <c r="B7" s="1">
        <v>7</v>
      </c>
      <c r="C7" s="1">
        <v>8</v>
      </c>
      <c r="D7" s="1">
        <v>0</v>
      </c>
      <c r="E7" s="3">
        <v>1.1000000000000001E-3</v>
      </c>
      <c r="F7" s="3">
        <v>0.65800000000000003</v>
      </c>
      <c r="G7" s="8">
        <f t="shared" si="0"/>
        <v>1.7622000000000002E-3</v>
      </c>
      <c r="H7" s="8">
        <f t="shared" si="1"/>
        <v>1.0541160000000001</v>
      </c>
      <c r="I7" s="8">
        <v>192.46</v>
      </c>
      <c r="J7" s="18">
        <v>1.2686999999999999</v>
      </c>
      <c r="K7" s="3">
        <v>1.2686999999999999</v>
      </c>
      <c r="L7" s="3">
        <v>0.1671</v>
      </c>
    </row>
    <row r="8" spans="1:12" x14ac:dyDescent="0.45">
      <c r="A8" s="1">
        <v>2</v>
      </c>
      <c r="B8" s="1">
        <v>8</v>
      </c>
      <c r="C8" s="1">
        <v>9</v>
      </c>
      <c r="D8" s="1">
        <v>0</v>
      </c>
      <c r="E8" s="3">
        <v>0.65800000000000003</v>
      </c>
      <c r="F8" s="3">
        <v>1.2276</v>
      </c>
      <c r="G8" s="8">
        <f t="shared" si="0"/>
        <v>1.0541160000000001</v>
      </c>
      <c r="H8" s="8">
        <f t="shared" si="1"/>
        <v>1.9666152000000001</v>
      </c>
      <c r="I8" s="8">
        <v>552.28</v>
      </c>
      <c r="J8" s="18">
        <v>1.1000000000000001</v>
      </c>
      <c r="K8" s="3">
        <v>1.1000000000000001</v>
      </c>
      <c r="L8" s="3">
        <v>0.47939999999999999</v>
      </c>
    </row>
    <row r="9" spans="1:12" x14ac:dyDescent="0.45">
      <c r="A9" s="1">
        <v>2</v>
      </c>
      <c r="B9" s="1">
        <v>9</v>
      </c>
      <c r="C9" s="1">
        <v>10</v>
      </c>
      <c r="D9" s="1">
        <v>0</v>
      </c>
      <c r="E9" s="3">
        <v>1.2276</v>
      </c>
      <c r="F9" s="3">
        <v>1.9134</v>
      </c>
      <c r="G9" s="8">
        <f t="shared" si="0"/>
        <v>1.9666152000000001</v>
      </c>
      <c r="H9" s="8">
        <f t="shared" si="1"/>
        <v>3.0652668000000003</v>
      </c>
      <c r="I9" s="8">
        <v>797.66</v>
      </c>
      <c r="J9" s="18">
        <v>1.3243</v>
      </c>
      <c r="K9" s="3">
        <v>1.3243</v>
      </c>
      <c r="L9" s="3">
        <v>0.69240000000000002</v>
      </c>
    </row>
    <row r="10" spans="1:12" x14ac:dyDescent="0.45">
      <c r="A10" s="1">
        <v>2</v>
      </c>
      <c r="B10" s="1">
        <v>10</v>
      </c>
      <c r="C10" s="1">
        <v>11</v>
      </c>
      <c r="D10" s="1">
        <v>0</v>
      </c>
      <c r="E10" s="3">
        <v>1.9134</v>
      </c>
      <c r="F10" s="3">
        <v>2.2814999999999999</v>
      </c>
      <c r="G10" s="8">
        <f t="shared" si="0"/>
        <v>3.0652668000000003</v>
      </c>
      <c r="H10" s="8">
        <f t="shared" si="1"/>
        <v>3.654963</v>
      </c>
      <c r="I10" s="8">
        <v>765.52</v>
      </c>
      <c r="J10" s="18">
        <v>0.71099999999999997</v>
      </c>
      <c r="K10" s="3">
        <v>0.71099999999999997</v>
      </c>
      <c r="L10" s="3">
        <v>0.66449999999999998</v>
      </c>
    </row>
    <row r="11" spans="1:12" x14ac:dyDescent="0.45">
      <c r="A11" s="1">
        <v>2</v>
      </c>
      <c r="B11" s="1">
        <v>11</v>
      </c>
      <c r="C11" s="1">
        <v>12</v>
      </c>
      <c r="D11" s="1">
        <v>0</v>
      </c>
      <c r="E11" s="3">
        <v>2.2814999999999999</v>
      </c>
      <c r="F11" s="3">
        <v>2.6078000000000001</v>
      </c>
      <c r="G11" s="8">
        <f t="shared" si="0"/>
        <v>3.654963</v>
      </c>
      <c r="H11" s="8">
        <f t="shared" si="1"/>
        <v>4.1776956000000007</v>
      </c>
      <c r="I11" s="8">
        <v>632.51</v>
      </c>
      <c r="J11" s="18">
        <v>0.63019999999999998</v>
      </c>
      <c r="K11" s="3">
        <v>0.63019999999999998</v>
      </c>
      <c r="L11" s="3">
        <v>0.54910000000000003</v>
      </c>
    </row>
    <row r="12" spans="1:12" x14ac:dyDescent="0.45">
      <c r="A12" s="1">
        <v>3</v>
      </c>
      <c r="B12" s="1">
        <v>13</v>
      </c>
      <c r="C12" s="1">
        <v>14</v>
      </c>
      <c r="D12" s="1">
        <v>0</v>
      </c>
      <c r="E12" s="3">
        <v>0</v>
      </c>
      <c r="F12" s="3">
        <v>0.81089999999999995</v>
      </c>
      <c r="G12" s="8">
        <f t="shared" si="0"/>
        <v>0</v>
      </c>
      <c r="H12" s="8">
        <f t="shared" si="1"/>
        <v>1.2990618</v>
      </c>
      <c r="I12" s="8">
        <v>291.93</v>
      </c>
      <c r="J12" s="18">
        <v>1.5660000000000001</v>
      </c>
      <c r="K12" s="3">
        <v>1.5660000000000001</v>
      </c>
      <c r="L12" s="3">
        <v>0.19009999999999999</v>
      </c>
    </row>
    <row r="13" spans="1:12" x14ac:dyDescent="0.45">
      <c r="A13" s="1">
        <v>3</v>
      </c>
      <c r="B13" s="1">
        <v>14</v>
      </c>
      <c r="C13" s="1">
        <v>15</v>
      </c>
      <c r="D13" s="1">
        <v>0</v>
      </c>
      <c r="E13" s="3">
        <v>0.81089999999999995</v>
      </c>
      <c r="F13" s="3">
        <v>1.2955000000000001</v>
      </c>
      <c r="G13" s="8">
        <f t="shared" si="0"/>
        <v>1.2990618</v>
      </c>
      <c r="H13" s="8">
        <f t="shared" si="1"/>
        <v>2.0753910000000002</v>
      </c>
      <c r="I13" s="8">
        <v>303.06</v>
      </c>
      <c r="J13" s="18">
        <v>0.93689999999999996</v>
      </c>
      <c r="K13" s="3">
        <v>0.93689999999999996</v>
      </c>
      <c r="L13" s="3">
        <v>0.1973</v>
      </c>
    </row>
    <row r="14" spans="1:12" x14ac:dyDescent="0.45">
      <c r="A14" s="1">
        <v>3</v>
      </c>
      <c r="B14" s="1">
        <v>15</v>
      </c>
      <c r="C14" s="1">
        <v>16</v>
      </c>
      <c r="D14" s="1">
        <v>0</v>
      </c>
      <c r="E14" s="3">
        <v>1.2955000000000001</v>
      </c>
      <c r="F14" s="3">
        <v>1.6364000000000001</v>
      </c>
      <c r="G14" s="8">
        <f t="shared" si="0"/>
        <v>2.0753910000000002</v>
      </c>
      <c r="H14" s="8">
        <f t="shared" si="1"/>
        <v>2.6215128000000001</v>
      </c>
      <c r="I14" s="8">
        <v>303.06</v>
      </c>
      <c r="J14" s="18">
        <v>0.80210000000000004</v>
      </c>
      <c r="K14" s="3">
        <v>0.80210000000000004</v>
      </c>
      <c r="L14" s="3">
        <v>0.1973</v>
      </c>
    </row>
    <row r="15" spans="1:12" x14ac:dyDescent="0.45">
      <c r="A15" s="1">
        <v>3</v>
      </c>
      <c r="B15" s="1">
        <v>16</v>
      </c>
      <c r="C15" s="1">
        <v>17</v>
      </c>
      <c r="D15" s="1">
        <v>0</v>
      </c>
      <c r="E15" s="3">
        <v>1.6364000000000001</v>
      </c>
      <c r="F15" s="3">
        <v>2.4228000000000001</v>
      </c>
      <c r="G15" s="8">
        <f t="shared" si="0"/>
        <v>2.6215128000000001</v>
      </c>
      <c r="H15" s="8">
        <f t="shared" si="1"/>
        <v>3.8813256000000003</v>
      </c>
      <c r="I15" s="8">
        <v>23.997499999999999</v>
      </c>
      <c r="J15" s="18">
        <v>1.5186999999999999</v>
      </c>
      <c r="K15" s="3">
        <v>1.5186999999999999</v>
      </c>
      <c r="L15" s="3">
        <v>1.5599999999999999E-2</v>
      </c>
    </row>
    <row r="16" spans="1:12" x14ac:dyDescent="0.45">
      <c r="A16" s="1">
        <v>4</v>
      </c>
      <c r="B16" s="1">
        <v>18</v>
      </c>
      <c r="C16" s="1">
        <v>19</v>
      </c>
      <c r="D16" s="1">
        <v>0</v>
      </c>
      <c r="E16" s="3">
        <v>2.8E-3</v>
      </c>
      <c r="F16" s="3">
        <v>0.78949999999999998</v>
      </c>
      <c r="G16" s="8">
        <f t="shared" si="0"/>
        <v>4.4856000000000002E-3</v>
      </c>
      <c r="H16" s="8">
        <f t="shared" si="1"/>
        <v>1.2647790000000001</v>
      </c>
      <c r="I16" s="8">
        <v>35.305</v>
      </c>
      <c r="J16" s="18">
        <v>1.5201</v>
      </c>
      <c r="K16" s="3">
        <v>1.5201</v>
      </c>
      <c r="L16" s="3">
        <v>2.3E-2</v>
      </c>
    </row>
    <row r="17" spans="1:35" x14ac:dyDescent="0.45">
      <c r="A17" s="1">
        <v>4</v>
      </c>
      <c r="B17" s="1">
        <v>19</v>
      </c>
      <c r="C17" s="1">
        <v>20</v>
      </c>
      <c r="D17" s="1">
        <v>0</v>
      </c>
      <c r="E17" s="3">
        <v>0.78949999999999998</v>
      </c>
      <c r="F17" s="3">
        <v>1.1312</v>
      </c>
      <c r="G17" s="8">
        <f t="shared" si="0"/>
        <v>1.2647790000000001</v>
      </c>
      <c r="H17" s="8">
        <f t="shared" si="1"/>
        <v>1.8121824</v>
      </c>
      <c r="I17" s="8">
        <v>256.8775</v>
      </c>
      <c r="J17" s="18">
        <v>0.80379999999999996</v>
      </c>
      <c r="K17" s="3">
        <v>0.80379999999999996</v>
      </c>
      <c r="L17" s="3">
        <v>0.16719999999999999</v>
      </c>
    </row>
    <row r="18" spans="1:35" x14ac:dyDescent="0.45">
      <c r="A18" s="1">
        <v>4</v>
      </c>
      <c r="B18" s="1">
        <v>20</v>
      </c>
      <c r="C18" s="1">
        <v>21</v>
      </c>
      <c r="D18" s="1">
        <v>0</v>
      </c>
      <c r="E18" s="3">
        <v>1.1312</v>
      </c>
      <c r="F18" s="3">
        <v>1.6112</v>
      </c>
      <c r="G18" s="8">
        <f t="shared" si="0"/>
        <v>1.8121824</v>
      </c>
      <c r="H18" s="8">
        <f t="shared" si="1"/>
        <v>2.5811424000000001</v>
      </c>
      <c r="I18" s="8">
        <v>256.8775</v>
      </c>
      <c r="J18" s="18">
        <v>0.92700000000000005</v>
      </c>
      <c r="K18" s="3">
        <v>0.92700000000000005</v>
      </c>
      <c r="L18" s="3">
        <v>0.16719999999999999</v>
      </c>
    </row>
    <row r="19" spans="1:35" x14ac:dyDescent="0.45">
      <c r="A19" s="1">
        <v>4</v>
      </c>
      <c r="B19" s="1">
        <v>21</v>
      </c>
      <c r="C19" s="1">
        <v>22</v>
      </c>
      <c r="D19" s="1">
        <v>0</v>
      </c>
      <c r="E19" s="3">
        <v>1.6112</v>
      </c>
      <c r="F19" s="3">
        <v>2.4207000000000001</v>
      </c>
      <c r="G19" s="8">
        <f t="shared" si="0"/>
        <v>2.5811424000000001</v>
      </c>
      <c r="H19" s="8">
        <f t="shared" si="1"/>
        <v>3.8779614000000002</v>
      </c>
      <c r="I19" s="8">
        <v>148.83000000000001</v>
      </c>
      <c r="J19" s="18">
        <v>1.5632999999999999</v>
      </c>
      <c r="K19" s="3">
        <v>1.5632999999999999</v>
      </c>
      <c r="L19" s="3">
        <v>9.69E-2</v>
      </c>
    </row>
    <row r="20" spans="1:35" x14ac:dyDescent="0.45">
      <c r="A20" s="1">
        <v>5</v>
      </c>
      <c r="B20" s="1">
        <v>23</v>
      </c>
      <c r="C20" s="1">
        <v>24</v>
      </c>
      <c r="D20" s="1">
        <v>0</v>
      </c>
      <c r="E20" s="3">
        <v>2.9999999999999997E-4</v>
      </c>
      <c r="F20" s="3">
        <v>0.31419999999999998</v>
      </c>
      <c r="G20" s="8">
        <f t="shared" si="0"/>
        <v>4.8059999999999997E-4</v>
      </c>
      <c r="H20" s="8">
        <f t="shared" si="1"/>
        <v>0.50334840000000003</v>
      </c>
      <c r="I20" s="8">
        <v>292.58999999999997</v>
      </c>
      <c r="J20" s="18">
        <v>1.2934000000000001</v>
      </c>
      <c r="K20" s="3">
        <v>1.2934000000000001</v>
      </c>
      <c r="L20" s="3">
        <v>0.27889999999999998</v>
      </c>
    </row>
    <row r="21" spans="1:35" x14ac:dyDescent="0.45">
      <c r="A21" s="1">
        <v>5</v>
      </c>
      <c r="B21" s="1">
        <v>24</v>
      </c>
      <c r="C21" s="1">
        <v>25</v>
      </c>
      <c r="D21" s="1">
        <v>0</v>
      </c>
      <c r="E21" s="3">
        <v>0.31419999999999998</v>
      </c>
      <c r="F21" s="3">
        <v>0.67</v>
      </c>
      <c r="G21" s="8">
        <f t="shared" si="0"/>
        <v>0.50334840000000003</v>
      </c>
      <c r="H21" s="8">
        <f t="shared" si="1"/>
        <v>1.0733400000000002</v>
      </c>
      <c r="I21" s="8">
        <v>305.39</v>
      </c>
      <c r="J21" s="18">
        <v>0.68720000000000003</v>
      </c>
      <c r="K21" s="3">
        <v>0.68720000000000003</v>
      </c>
      <c r="L21" s="3">
        <v>0.29110000000000003</v>
      </c>
    </row>
    <row r="22" spans="1:35" x14ac:dyDescent="0.45">
      <c r="A22" s="1">
        <v>5</v>
      </c>
      <c r="B22" s="1">
        <v>25</v>
      </c>
      <c r="C22" s="1">
        <v>26</v>
      </c>
      <c r="D22" s="1">
        <v>0</v>
      </c>
      <c r="E22" s="3">
        <v>0.67</v>
      </c>
      <c r="F22" s="3">
        <v>1.2070000000000001</v>
      </c>
      <c r="G22" s="8">
        <f t="shared" si="0"/>
        <v>1.0733400000000002</v>
      </c>
      <c r="H22" s="8">
        <f t="shared" si="1"/>
        <v>1.9336140000000002</v>
      </c>
      <c r="I22" s="8">
        <v>416.61250000000001</v>
      </c>
      <c r="J22" s="18">
        <v>1.0370999999999999</v>
      </c>
      <c r="K22" s="3">
        <v>1.0370999999999999</v>
      </c>
      <c r="L22" s="3">
        <v>0.3972</v>
      </c>
    </row>
    <row r="23" spans="1:35" x14ac:dyDescent="0.45">
      <c r="A23" s="1">
        <v>6</v>
      </c>
      <c r="B23" s="1">
        <v>27</v>
      </c>
      <c r="C23" s="1">
        <v>28</v>
      </c>
      <c r="D23" s="1">
        <v>0</v>
      </c>
      <c r="E23" s="3">
        <v>1.2999999999999999E-3</v>
      </c>
      <c r="F23" s="3">
        <v>0.5373</v>
      </c>
      <c r="G23" s="8">
        <f t="shared" si="0"/>
        <v>2.0826E-3</v>
      </c>
      <c r="H23" s="8">
        <f t="shared" si="1"/>
        <v>0.86075460000000004</v>
      </c>
      <c r="I23" s="8">
        <v>163.41499999999999</v>
      </c>
      <c r="J23" s="18">
        <v>1.0350999999999999</v>
      </c>
      <c r="K23" s="3">
        <v>1.0350999999999999</v>
      </c>
      <c r="L23" s="3">
        <v>0.15579999999999999</v>
      </c>
    </row>
    <row r="24" spans="1:35" x14ac:dyDescent="0.45">
      <c r="A24" s="1">
        <v>6</v>
      </c>
      <c r="B24" s="1">
        <v>28</v>
      </c>
      <c r="C24" s="1">
        <v>29</v>
      </c>
      <c r="D24" s="1">
        <v>0</v>
      </c>
      <c r="E24" s="3">
        <v>0.5373</v>
      </c>
      <c r="F24" s="3">
        <v>0.89119999999999999</v>
      </c>
      <c r="G24" s="8">
        <f t="shared" si="0"/>
        <v>0.86075460000000004</v>
      </c>
      <c r="H24" s="8">
        <f t="shared" si="1"/>
        <v>1.4277024</v>
      </c>
      <c r="I24" s="8">
        <v>183.6825</v>
      </c>
      <c r="J24" s="18">
        <v>0.68340000000000001</v>
      </c>
      <c r="K24" s="3">
        <v>0.68340000000000001</v>
      </c>
      <c r="L24" s="3">
        <v>0.17510000000000001</v>
      </c>
    </row>
    <row r="25" spans="1:35" x14ac:dyDescent="0.45">
      <c r="A25" s="1">
        <v>6</v>
      </c>
      <c r="B25" s="1">
        <v>29</v>
      </c>
      <c r="C25" s="1">
        <v>30</v>
      </c>
      <c r="D25" s="1">
        <v>0</v>
      </c>
      <c r="E25" s="3">
        <v>0.89119999999999999</v>
      </c>
      <c r="F25" s="3">
        <v>1.2053</v>
      </c>
      <c r="G25" s="8">
        <f t="shared" si="0"/>
        <v>1.4277024</v>
      </c>
      <c r="H25" s="8">
        <f t="shared" si="1"/>
        <v>1.9308906000000001</v>
      </c>
      <c r="I25" s="8">
        <v>182.3725</v>
      </c>
      <c r="J25" s="18">
        <v>1.2907</v>
      </c>
      <c r="K25" s="3">
        <v>1.2907</v>
      </c>
      <c r="L25" s="3">
        <v>0.1739</v>
      </c>
      <c r="R25" t="s">
        <v>52</v>
      </c>
      <c r="S25" t="s">
        <v>52</v>
      </c>
      <c r="T25" t="s">
        <v>53</v>
      </c>
      <c r="Y25" t="s">
        <v>54</v>
      </c>
      <c r="Z25" t="s">
        <v>55</v>
      </c>
      <c r="AA25" t="s">
        <v>56</v>
      </c>
      <c r="AB25" t="s">
        <v>57</v>
      </c>
      <c r="AC25" t="s">
        <v>58</v>
      </c>
      <c r="AD25" t="s">
        <v>59</v>
      </c>
      <c r="AG25" t="s">
        <v>62</v>
      </c>
      <c r="AH25" t="s">
        <v>67</v>
      </c>
      <c r="AI25" t="s">
        <v>68</v>
      </c>
    </row>
    <row r="26" spans="1:35" x14ac:dyDescent="0.45">
      <c r="A26" s="4">
        <v>7</v>
      </c>
      <c r="B26" s="4">
        <v>31</v>
      </c>
      <c r="C26" s="4">
        <v>32</v>
      </c>
      <c r="D26" s="4">
        <v>0</v>
      </c>
      <c r="E26" s="5">
        <v>6.9999999999999999E-4</v>
      </c>
      <c r="F26" s="5">
        <v>0.36049999999999999</v>
      </c>
      <c r="G26" s="9">
        <f t="shared" si="0"/>
        <v>1.1214E-3</v>
      </c>
      <c r="H26" s="9">
        <f t="shared" si="1"/>
        <v>0.57752100000000006</v>
      </c>
      <c r="I26" s="9">
        <v>371.04250000000002</v>
      </c>
      <c r="J26" s="19">
        <v>3.3658000000000001</v>
      </c>
      <c r="K26" s="5">
        <v>3.3658000000000001</v>
      </c>
      <c r="L26" s="5">
        <v>1.1595</v>
      </c>
      <c r="O26" s="3">
        <f>G26</f>
        <v>1.1214E-3</v>
      </c>
      <c r="P26" s="3">
        <f>I26</f>
        <v>371.04250000000002</v>
      </c>
      <c r="R26" s="11">
        <f>O26</f>
        <v>1.1214E-3</v>
      </c>
      <c r="S26" s="11">
        <f>R26</f>
        <v>1.1214E-3</v>
      </c>
      <c r="T26" s="12">
        <f>0</f>
        <v>0</v>
      </c>
      <c r="V26">
        <v>0</v>
      </c>
      <c r="W26">
        <v>0</v>
      </c>
      <c r="Y26" s="3">
        <f>V28</f>
        <v>3.5080596000000002</v>
      </c>
      <c r="Z26">
        <v>4</v>
      </c>
      <c r="AA26">
        <f>Y26*Z26</f>
        <v>14.032238400000001</v>
      </c>
      <c r="AB26">
        <v>6</v>
      </c>
      <c r="AC26">
        <f>AA26*AB26</f>
        <v>84.193430400000011</v>
      </c>
      <c r="AD26">
        <f>AC26/0.65</f>
        <v>129.52835446153847</v>
      </c>
      <c r="AG26">
        <f>ONOFF!K32</f>
        <v>571.69612500000005</v>
      </c>
      <c r="AH26">
        <f>AD26</f>
        <v>129.52835446153847</v>
      </c>
      <c r="AI26" s="17">
        <f>AG26/AH26</f>
        <v>4.4136755027622678</v>
      </c>
    </row>
    <row r="27" spans="1:35" x14ac:dyDescent="0.45">
      <c r="A27" s="4">
        <v>7</v>
      </c>
      <c r="B27" s="4">
        <v>32</v>
      </c>
      <c r="C27" s="4">
        <v>33</v>
      </c>
      <c r="D27" s="4">
        <v>0</v>
      </c>
      <c r="E27" s="5">
        <v>0.36049999999999999</v>
      </c>
      <c r="F27" s="5">
        <v>0.47539999999999999</v>
      </c>
      <c r="G27" s="9">
        <f t="shared" si="0"/>
        <v>0.57752100000000006</v>
      </c>
      <c r="H27" s="9">
        <f t="shared" si="1"/>
        <v>0.76159080000000001</v>
      </c>
      <c r="I27" s="9">
        <v>382.10750000000002</v>
      </c>
      <c r="J27" s="19">
        <v>0.2908</v>
      </c>
      <c r="K27" s="5">
        <v>0.2908</v>
      </c>
      <c r="L27" s="5">
        <v>1.1940999999999999</v>
      </c>
      <c r="O27" s="3">
        <f t="shared" ref="O27:O32" si="2">G27</f>
        <v>0.57752100000000006</v>
      </c>
      <c r="P27" s="3">
        <f t="shared" ref="P27:P33" si="3">I27</f>
        <v>382.10750000000002</v>
      </c>
      <c r="R27" s="11">
        <f>R26</f>
        <v>1.1214E-3</v>
      </c>
      <c r="S27" s="11">
        <f t="shared" ref="S27:S43" si="4">R27</f>
        <v>1.1214E-3</v>
      </c>
      <c r="T27" s="11">
        <f>P26</f>
        <v>371.04250000000002</v>
      </c>
      <c r="V27">
        <v>0</v>
      </c>
      <c r="W27">
        <v>320</v>
      </c>
      <c r="Y27" s="3">
        <f>Y26</f>
        <v>3.5080596000000002</v>
      </c>
      <c r="Z27">
        <v>2</v>
      </c>
      <c r="AA27">
        <f>Y27*Z27</f>
        <v>7.0161192000000003</v>
      </c>
      <c r="AB27">
        <v>6</v>
      </c>
      <c r="AC27">
        <f>AA27*AB27</f>
        <v>42.096715200000006</v>
      </c>
      <c r="AD27">
        <f>AC27/0.65</f>
        <v>64.764177230769235</v>
      </c>
    </row>
    <row r="28" spans="1:35" x14ac:dyDescent="0.45">
      <c r="A28" s="4">
        <v>7</v>
      </c>
      <c r="B28" s="4">
        <v>33</v>
      </c>
      <c r="C28" s="4">
        <v>34</v>
      </c>
      <c r="D28" s="4">
        <v>0</v>
      </c>
      <c r="E28" s="5">
        <v>0.47539999999999999</v>
      </c>
      <c r="F28" s="5">
        <v>0.55159999999999998</v>
      </c>
      <c r="G28" s="9">
        <f t="shared" si="0"/>
        <v>0.76159080000000001</v>
      </c>
      <c r="H28" s="9">
        <f t="shared" si="1"/>
        <v>0.88366319999999998</v>
      </c>
      <c r="I28" s="9">
        <v>403.39249999999998</v>
      </c>
      <c r="J28" s="19">
        <v>0.38040000000000002</v>
      </c>
      <c r="K28" s="5">
        <v>0.38040000000000002</v>
      </c>
      <c r="L28" s="5">
        <v>1.2605999999999999</v>
      </c>
      <c r="O28" s="3">
        <f t="shared" si="2"/>
        <v>0.76159080000000001</v>
      </c>
      <c r="P28" s="3">
        <f t="shared" si="3"/>
        <v>403.39249999999998</v>
      </c>
      <c r="R28" s="11">
        <f>O27</f>
        <v>0.57752100000000006</v>
      </c>
      <c r="S28" s="11">
        <f t="shared" si="4"/>
        <v>0.57752100000000006</v>
      </c>
      <c r="T28" s="11">
        <f>T27</f>
        <v>371.04250000000002</v>
      </c>
      <c r="V28" s="3">
        <f>S61</f>
        <v>3.5080596000000002</v>
      </c>
      <c r="W28">
        <v>320</v>
      </c>
    </row>
    <row r="29" spans="1:35" x14ac:dyDescent="0.45">
      <c r="A29" s="4">
        <v>7</v>
      </c>
      <c r="B29" s="4">
        <v>34</v>
      </c>
      <c r="C29" s="4">
        <v>35</v>
      </c>
      <c r="D29" s="4">
        <v>0</v>
      </c>
      <c r="E29" s="5">
        <v>0.55159999999999998</v>
      </c>
      <c r="F29" s="5">
        <v>0.68820000000000003</v>
      </c>
      <c r="G29" s="9">
        <f t="shared" si="0"/>
        <v>0.88366319999999998</v>
      </c>
      <c r="H29" s="9">
        <f t="shared" si="1"/>
        <v>1.1024964000000002</v>
      </c>
      <c r="I29" s="9">
        <v>414.3125</v>
      </c>
      <c r="J29" s="19">
        <v>0.39829999999999999</v>
      </c>
      <c r="K29" s="5">
        <v>0.39829999999999999</v>
      </c>
      <c r="L29" s="5">
        <v>1.2947</v>
      </c>
      <c r="O29" s="3">
        <f t="shared" si="2"/>
        <v>0.88366319999999998</v>
      </c>
      <c r="P29" s="3">
        <f t="shared" si="3"/>
        <v>414.3125</v>
      </c>
      <c r="R29" s="11">
        <f>R28</f>
        <v>0.57752100000000006</v>
      </c>
      <c r="S29" s="11">
        <f t="shared" si="4"/>
        <v>0.57752100000000006</v>
      </c>
      <c r="T29" s="11">
        <f>P27</f>
        <v>382.10750000000002</v>
      </c>
      <c r="V29" s="3">
        <f>V28</f>
        <v>3.5080596000000002</v>
      </c>
      <c r="W29">
        <v>0</v>
      </c>
    </row>
    <row r="30" spans="1:35" x14ac:dyDescent="0.45">
      <c r="A30" s="4">
        <v>7</v>
      </c>
      <c r="B30" s="4">
        <v>35</v>
      </c>
      <c r="C30" s="4">
        <v>36</v>
      </c>
      <c r="D30" s="4">
        <v>0</v>
      </c>
      <c r="E30" s="5">
        <v>0.68820000000000003</v>
      </c>
      <c r="F30" s="5">
        <v>0.76529999999999998</v>
      </c>
      <c r="G30" s="9">
        <f t="shared" si="0"/>
        <v>1.1024964000000002</v>
      </c>
      <c r="H30" s="9">
        <f t="shared" si="1"/>
        <v>1.2260106</v>
      </c>
      <c r="I30" s="9">
        <v>414.94499999999999</v>
      </c>
      <c r="J30" s="19">
        <v>0.1762</v>
      </c>
      <c r="K30" s="5">
        <v>0.1762</v>
      </c>
      <c r="L30" s="5">
        <v>1.2967</v>
      </c>
      <c r="O30" s="3">
        <f t="shared" si="2"/>
        <v>1.1024964000000002</v>
      </c>
      <c r="P30" s="3">
        <f t="shared" si="3"/>
        <v>414.94499999999999</v>
      </c>
      <c r="R30" s="11">
        <f>O28</f>
        <v>0.76159080000000001</v>
      </c>
      <c r="S30" s="11">
        <f t="shared" si="4"/>
        <v>0.76159080000000001</v>
      </c>
      <c r="T30" s="11">
        <f>T29</f>
        <v>382.10750000000002</v>
      </c>
    </row>
    <row r="31" spans="1:35" x14ac:dyDescent="0.45">
      <c r="A31" s="4">
        <v>7</v>
      </c>
      <c r="B31" s="4">
        <v>36</v>
      </c>
      <c r="C31" s="4">
        <v>37</v>
      </c>
      <c r="D31" s="4">
        <v>0</v>
      </c>
      <c r="E31" s="5">
        <v>0.76529999999999998</v>
      </c>
      <c r="F31" s="5">
        <v>0.96020000000000005</v>
      </c>
      <c r="G31" s="9">
        <f t="shared" si="0"/>
        <v>1.2260106</v>
      </c>
      <c r="H31" s="9">
        <f t="shared" si="1"/>
        <v>1.5382404000000001</v>
      </c>
      <c r="I31" s="9">
        <v>418.98500000000001</v>
      </c>
      <c r="J31" s="19">
        <v>0.69520000000000004</v>
      </c>
      <c r="K31" s="5">
        <v>0.69520000000000004</v>
      </c>
      <c r="L31" s="5">
        <v>1.3092999999999999</v>
      </c>
      <c r="O31" s="3">
        <f t="shared" si="2"/>
        <v>1.2260106</v>
      </c>
      <c r="P31" s="3">
        <f t="shared" si="3"/>
        <v>418.98500000000001</v>
      </c>
      <c r="R31" s="11">
        <f>R30</f>
        <v>0.76159080000000001</v>
      </c>
      <c r="S31" s="11">
        <f t="shared" si="4"/>
        <v>0.76159080000000001</v>
      </c>
      <c r="T31" s="11">
        <f>P28</f>
        <v>403.39249999999998</v>
      </c>
    </row>
    <row r="32" spans="1:35" x14ac:dyDescent="0.45">
      <c r="A32" s="4">
        <v>7</v>
      </c>
      <c r="B32" s="4">
        <v>37</v>
      </c>
      <c r="C32" s="4">
        <v>39</v>
      </c>
      <c r="D32" s="4">
        <v>0</v>
      </c>
      <c r="E32" s="5">
        <v>0.96020000000000005</v>
      </c>
      <c r="F32" s="5">
        <v>1.1475</v>
      </c>
      <c r="G32" s="9">
        <f t="shared" si="0"/>
        <v>1.5382404000000001</v>
      </c>
      <c r="H32" s="9">
        <f t="shared" si="1"/>
        <v>1.838295</v>
      </c>
      <c r="I32" s="9">
        <v>22.57</v>
      </c>
      <c r="J32" s="19">
        <v>3.7145000000000001</v>
      </c>
      <c r="K32" s="5">
        <v>3.7145000000000001</v>
      </c>
      <c r="L32" s="5">
        <v>7.0499999999999993E-2</v>
      </c>
      <c r="O32" s="3">
        <f t="shared" si="2"/>
        <v>1.5382404000000001</v>
      </c>
      <c r="P32" s="3">
        <f t="shared" si="3"/>
        <v>22.57</v>
      </c>
      <c r="R32" s="11">
        <f>O29</f>
        <v>0.88366319999999998</v>
      </c>
      <c r="S32" s="11">
        <f t="shared" si="4"/>
        <v>0.88366319999999998</v>
      </c>
      <c r="T32" s="11">
        <f>T31</f>
        <v>403.39249999999998</v>
      </c>
    </row>
    <row r="33" spans="1:30" x14ac:dyDescent="0.45">
      <c r="A33" s="4">
        <v>7</v>
      </c>
      <c r="B33" s="4">
        <v>39</v>
      </c>
      <c r="C33" s="4">
        <v>40</v>
      </c>
      <c r="D33" s="4">
        <v>0</v>
      </c>
      <c r="E33" s="5">
        <v>1.1475</v>
      </c>
      <c r="F33" s="5">
        <v>1.2225999999999999</v>
      </c>
      <c r="G33" s="9">
        <f t="shared" si="0"/>
        <v>1.838295</v>
      </c>
      <c r="H33" s="9">
        <f t="shared" si="1"/>
        <v>1.9586052</v>
      </c>
      <c r="I33" s="9">
        <v>9.2550000000000008</v>
      </c>
      <c r="J33" s="19">
        <v>0.1784</v>
      </c>
      <c r="K33" s="5">
        <v>0.1784</v>
      </c>
      <c r="L33" s="5">
        <v>2.8899999999999999E-2</v>
      </c>
      <c r="O33" s="3">
        <f>G33</f>
        <v>1.838295</v>
      </c>
      <c r="P33" s="3">
        <f t="shared" si="3"/>
        <v>9.2550000000000008</v>
      </c>
      <c r="R33" s="11">
        <f>R32</f>
        <v>0.88366319999999998</v>
      </c>
      <c r="S33" s="11">
        <f t="shared" si="4"/>
        <v>0.88366319999999998</v>
      </c>
      <c r="T33" s="11">
        <f>P29</f>
        <v>414.3125</v>
      </c>
      <c r="X33" t="s">
        <v>66</v>
      </c>
    </row>
    <row r="34" spans="1:30" x14ac:dyDescent="0.45">
      <c r="A34" s="6">
        <v>8</v>
      </c>
      <c r="B34" s="6">
        <v>41</v>
      </c>
      <c r="C34" s="6">
        <v>42</v>
      </c>
      <c r="D34" s="6">
        <v>0</v>
      </c>
      <c r="E34" s="7">
        <v>0</v>
      </c>
      <c r="F34" s="7">
        <v>6.0199999999999997E-2</v>
      </c>
      <c r="G34" s="10">
        <f t="shared" si="0"/>
        <v>0</v>
      </c>
      <c r="H34" s="10">
        <f t="shared" si="1"/>
        <v>9.6440399999999996E-2</v>
      </c>
      <c r="I34" s="10">
        <v>15.025</v>
      </c>
      <c r="J34" s="20">
        <v>0.1749</v>
      </c>
      <c r="K34" s="7">
        <v>0.1749</v>
      </c>
      <c r="L34" s="7">
        <v>4.7E-2</v>
      </c>
      <c r="O34" s="3">
        <f>H33</f>
        <v>1.9586052</v>
      </c>
      <c r="R34" s="11">
        <f>O30</f>
        <v>1.1024964000000002</v>
      </c>
      <c r="S34" s="11">
        <f t="shared" si="4"/>
        <v>1.1024964000000002</v>
      </c>
      <c r="T34" s="11">
        <f>T33</f>
        <v>414.3125</v>
      </c>
      <c r="V34" t="s">
        <v>65</v>
      </c>
      <c r="W34">
        <f>MAX(T26:T61)</f>
        <v>418.98500000000001</v>
      </c>
      <c r="X34">
        <f>W34-W27</f>
        <v>98.985000000000014</v>
      </c>
    </row>
    <row r="35" spans="1:30" x14ac:dyDescent="0.45">
      <c r="A35" s="6">
        <v>8</v>
      </c>
      <c r="B35" s="6">
        <v>42</v>
      </c>
      <c r="C35" s="6">
        <v>43</v>
      </c>
      <c r="D35" s="6">
        <v>0</v>
      </c>
      <c r="E35" s="7">
        <v>6.0199999999999997E-2</v>
      </c>
      <c r="F35" s="7">
        <v>0.23680000000000001</v>
      </c>
      <c r="G35" s="10">
        <f t="shared" si="0"/>
        <v>9.6440399999999996E-2</v>
      </c>
      <c r="H35" s="10">
        <f t="shared" si="1"/>
        <v>0.37935360000000001</v>
      </c>
      <c r="I35" s="10">
        <v>156.495</v>
      </c>
      <c r="J35" s="20">
        <v>2.0630999999999999</v>
      </c>
      <c r="K35" s="7">
        <v>2.0630999999999999</v>
      </c>
      <c r="L35" s="7">
        <v>0.48899999999999999</v>
      </c>
      <c r="R35" s="11">
        <f>R34</f>
        <v>1.1024964000000002</v>
      </c>
      <c r="S35" s="11">
        <f t="shared" si="4"/>
        <v>1.1024964000000002</v>
      </c>
      <c r="T35" s="11">
        <f>P30</f>
        <v>414.94499999999999</v>
      </c>
    </row>
    <row r="36" spans="1:30" x14ac:dyDescent="0.45">
      <c r="A36" s="6">
        <v>8</v>
      </c>
      <c r="B36" s="6">
        <v>43</v>
      </c>
      <c r="C36" s="6">
        <v>44</v>
      </c>
      <c r="D36" s="6">
        <v>0</v>
      </c>
      <c r="E36" s="7">
        <v>0.23680000000000001</v>
      </c>
      <c r="F36" s="7">
        <v>0.35520000000000002</v>
      </c>
      <c r="G36" s="10">
        <f t="shared" si="0"/>
        <v>0.37935360000000001</v>
      </c>
      <c r="H36" s="10">
        <f t="shared" si="1"/>
        <v>0.56903040000000005</v>
      </c>
      <c r="I36" s="10">
        <v>199.6</v>
      </c>
      <c r="J36" s="20">
        <v>0.6895</v>
      </c>
      <c r="K36" s="7">
        <v>0.6895</v>
      </c>
      <c r="L36" s="7">
        <v>0.62370000000000003</v>
      </c>
      <c r="R36" s="11">
        <f>O31</f>
        <v>1.2260106</v>
      </c>
      <c r="S36" s="11">
        <f t="shared" si="4"/>
        <v>1.2260106</v>
      </c>
      <c r="T36" s="11">
        <f>T35</f>
        <v>414.94499999999999</v>
      </c>
      <c r="X36" t="s">
        <v>60</v>
      </c>
      <c r="Y36" t="s">
        <v>61</v>
      </c>
      <c r="Z36" t="s">
        <v>62</v>
      </c>
      <c r="AA36" t="s">
        <v>63</v>
      </c>
      <c r="AB36" t="s">
        <v>64</v>
      </c>
    </row>
    <row r="37" spans="1:30" x14ac:dyDescent="0.45">
      <c r="A37" s="6">
        <v>8</v>
      </c>
      <c r="B37" s="6">
        <v>44</v>
      </c>
      <c r="C37" s="6">
        <v>45</v>
      </c>
      <c r="D37" s="6">
        <v>0</v>
      </c>
      <c r="E37" s="7">
        <v>0.35520000000000002</v>
      </c>
      <c r="F37" s="7">
        <v>0.49730000000000002</v>
      </c>
      <c r="G37" s="10">
        <f t="shared" si="0"/>
        <v>0.56903040000000005</v>
      </c>
      <c r="H37" s="10">
        <f t="shared" si="1"/>
        <v>0.79667460000000012</v>
      </c>
      <c r="I37" s="10">
        <v>202.845</v>
      </c>
      <c r="J37" s="20">
        <v>2.1697000000000002</v>
      </c>
      <c r="K37" s="7">
        <v>2.1697000000000002</v>
      </c>
      <c r="L37" s="7">
        <v>0.63390000000000002</v>
      </c>
      <c r="R37" s="11">
        <f>R36</f>
        <v>1.2260106</v>
      </c>
      <c r="S37" s="11">
        <f t="shared" si="4"/>
        <v>1.2260106</v>
      </c>
      <c r="T37" s="11">
        <f>P31</f>
        <v>418.98500000000001</v>
      </c>
      <c r="X37" s="3">
        <f>X34</f>
        <v>98.985000000000014</v>
      </c>
      <c r="Y37">
        <v>1.3</v>
      </c>
      <c r="Z37">
        <f>X37*Y37</f>
        <v>128.68050000000002</v>
      </c>
      <c r="AA37" s="16">
        <v>0.3</v>
      </c>
      <c r="AB37">
        <f>Z37*(1-AA37)</f>
        <v>90.076350000000005</v>
      </c>
      <c r="AD37">
        <f>AB37-AD27</f>
        <v>25.31217276923077</v>
      </c>
    </row>
    <row r="38" spans="1:30" x14ac:dyDescent="0.45">
      <c r="A38" s="6">
        <v>8</v>
      </c>
      <c r="B38" s="6">
        <v>45</v>
      </c>
      <c r="C38" s="6">
        <v>46</v>
      </c>
      <c r="D38" s="6">
        <v>0</v>
      </c>
      <c r="E38" s="7">
        <v>0.49730000000000002</v>
      </c>
      <c r="F38" s="7">
        <v>0.57379999999999998</v>
      </c>
      <c r="G38" s="10">
        <f t="shared" si="0"/>
        <v>0.79667460000000012</v>
      </c>
      <c r="H38" s="10">
        <f t="shared" si="1"/>
        <v>0.91922760000000003</v>
      </c>
      <c r="I38" s="10">
        <v>203.91749999999999</v>
      </c>
      <c r="J38" s="20">
        <v>0.59519999999999995</v>
      </c>
      <c r="K38" s="7">
        <v>0.59519999999999995</v>
      </c>
      <c r="L38" s="7">
        <v>0.63719999999999999</v>
      </c>
      <c r="R38" s="11">
        <f>O32</f>
        <v>1.5382404000000001</v>
      </c>
      <c r="S38" s="11">
        <f t="shared" si="4"/>
        <v>1.5382404000000001</v>
      </c>
      <c r="T38" s="11">
        <f>T37</f>
        <v>418.98500000000001</v>
      </c>
      <c r="AD38" s="17">
        <f>AD37/AD27</f>
        <v>0.3908360123072025</v>
      </c>
    </row>
    <row r="39" spans="1:30" x14ac:dyDescent="0.45">
      <c r="A39" s="6">
        <v>8</v>
      </c>
      <c r="B39" s="6">
        <v>46</v>
      </c>
      <c r="C39" s="6">
        <v>47</v>
      </c>
      <c r="D39" s="6">
        <v>0</v>
      </c>
      <c r="E39" s="7">
        <v>0.57379999999999998</v>
      </c>
      <c r="F39" s="7">
        <v>0.68130000000000002</v>
      </c>
      <c r="G39" s="10">
        <f t="shared" si="0"/>
        <v>0.91922760000000003</v>
      </c>
      <c r="H39" s="10">
        <f t="shared" si="1"/>
        <v>1.0914426000000002</v>
      </c>
      <c r="I39" s="10">
        <v>178.08</v>
      </c>
      <c r="J39" s="20">
        <v>0.23810000000000001</v>
      </c>
      <c r="K39" s="7">
        <v>0.23810000000000001</v>
      </c>
      <c r="L39" s="7">
        <v>0.55649999999999999</v>
      </c>
      <c r="R39" s="11">
        <f>R38</f>
        <v>1.5382404000000001</v>
      </c>
      <c r="S39" s="11">
        <f t="shared" si="4"/>
        <v>1.5382404000000001</v>
      </c>
      <c r="T39" s="11">
        <f>P32</f>
        <v>22.57</v>
      </c>
    </row>
    <row r="40" spans="1:30" x14ac:dyDescent="0.45">
      <c r="A40" s="6">
        <v>8</v>
      </c>
      <c r="B40" s="6">
        <v>47</v>
      </c>
      <c r="C40" s="6">
        <v>48</v>
      </c>
      <c r="D40" s="6">
        <v>0</v>
      </c>
      <c r="E40" s="7">
        <v>0.68130000000000002</v>
      </c>
      <c r="F40" s="7">
        <v>0.746</v>
      </c>
      <c r="G40" s="10">
        <f t="shared" si="0"/>
        <v>1.0914426000000002</v>
      </c>
      <c r="H40" s="10">
        <f t="shared" si="1"/>
        <v>1.195092</v>
      </c>
      <c r="I40" s="10">
        <v>159.66499999999999</v>
      </c>
      <c r="J40" s="20">
        <v>0.433</v>
      </c>
      <c r="K40" s="7">
        <v>0.433</v>
      </c>
      <c r="L40" s="7">
        <v>0.499</v>
      </c>
      <c r="R40" s="11">
        <f>O33</f>
        <v>1.838295</v>
      </c>
      <c r="S40" s="11">
        <f t="shared" si="4"/>
        <v>1.838295</v>
      </c>
      <c r="T40" s="11">
        <f>T39</f>
        <v>22.57</v>
      </c>
    </row>
    <row r="41" spans="1:30" x14ac:dyDescent="0.45">
      <c r="A41" s="6">
        <v>8</v>
      </c>
      <c r="B41" s="6">
        <v>48</v>
      </c>
      <c r="C41" s="6">
        <v>49</v>
      </c>
      <c r="D41" s="6">
        <v>0</v>
      </c>
      <c r="E41" s="7">
        <v>0.746</v>
      </c>
      <c r="F41" s="7">
        <v>0.96719999999999995</v>
      </c>
      <c r="G41" s="10">
        <f t="shared" si="0"/>
        <v>1.195092</v>
      </c>
      <c r="H41" s="10">
        <f t="shared" si="1"/>
        <v>1.5494543999999999</v>
      </c>
      <c r="I41" s="10">
        <v>159.6575</v>
      </c>
      <c r="J41" s="20">
        <v>1.0465</v>
      </c>
      <c r="K41" s="7">
        <v>1.0465</v>
      </c>
      <c r="L41" s="7">
        <v>0.49890000000000001</v>
      </c>
      <c r="R41" s="11">
        <f>R40</f>
        <v>1.838295</v>
      </c>
      <c r="S41" s="11">
        <f t="shared" si="4"/>
        <v>1.838295</v>
      </c>
      <c r="T41" s="11">
        <f>P33</f>
        <v>9.2550000000000008</v>
      </c>
      <c r="AA41" t="s">
        <v>71</v>
      </c>
      <c r="AB41" t="s">
        <v>78</v>
      </c>
    </row>
    <row r="42" spans="1:30" x14ac:dyDescent="0.45">
      <c r="A42" s="21">
        <v>9</v>
      </c>
      <c r="B42" s="21">
        <v>51</v>
      </c>
      <c r="C42" s="21">
        <v>53</v>
      </c>
      <c r="D42" s="21">
        <v>0</v>
      </c>
      <c r="E42" s="24">
        <v>1E-4</v>
      </c>
      <c r="F42" s="24">
        <v>0.40889999999999999</v>
      </c>
      <c r="G42" s="25">
        <f t="shared" si="0"/>
        <v>1.6020000000000002E-4</v>
      </c>
      <c r="H42" s="25">
        <f t="shared" si="1"/>
        <v>0.65505780000000002</v>
      </c>
      <c r="I42" s="25">
        <v>201.4325</v>
      </c>
      <c r="J42" s="26">
        <v>4.1985000000000001</v>
      </c>
      <c r="K42" s="24">
        <v>4.1985000000000001</v>
      </c>
      <c r="L42" s="24">
        <v>0.62949999999999995</v>
      </c>
      <c r="R42" s="11">
        <f>O34</f>
        <v>1.9586052</v>
      </c>
      <c r="S42" s="11">
        <f t="shared" si="4"/>
        <v>1.9586052</v>
      </c>
      <c r="T42" s="11">
        <f>T41</f>
        <v>9.2550000000000008</v>
      </c>
      <c r="W42" t="s">
        <v>71</v>
      </c>
      <c r="Z42" t="s">
        <v>76</v>
      </c>
      <c r="AA42" s="3">
        <f>W43+W44+W46+W47+W49+W50</f>
        <v>67.6096</v>
      </c>
      <c r="AB42">
        <f>AA42/60</f>
        <v>1.1268266666666666</v>
      </c>
    </row>
    <row r="43" spans="1:30" x14ac:dyDescent="0.45">
      <c r="A43" s="21">
        <v>9</v>
      </c>
      <c r="B43" s="21">
        <v>53</v>
      </c>
      <c r="C43" s="21">
        <v>54</v>
      </c>
      <c r="D43" s="21">
        <v>0</v>
      </c>
      <c r="E43" s="24">
        <v>0.40889999999999999</v>
      </c>
      <c r="F43" s="24">
        <v>0.73260000000000003</v>
      </c>
      <c r="G43" s="25">
        <f t="shared" si="0"/>
        <v>0.65505780000000002</v>
      </c>
      <c r="H43" s="25">
        <f t="shared" si="1"/>
        <v>1.1736252</v>
      </c>
      <c r="I43" s="25">
        <v>337.66250000000002</v>
      </c>
      <c r="J43" s="26">
        <v>1.2442</v>
      </c>
      <c r="K43" s="24">
        <v>1.2442</v>
      </c>
      <c r="L43" s="24">
        <v>1.0551999999999999</v>
      </c>
      <c r="R43" s="11">
        <f>R42</f>
        <v>1.9586052</v>
      </c>
      <c r="S43" s="11">
        <f t="shared" si="4"/>
        <v>1.9586052</v>
      </c>
      <c r="T43" s="12">
        <f>0</f>
        <v>0</v>
      </c>
      <c r="V43" t="s">
        <v>69</v>
      </c>
      <c r="W43" s="3">
        <f>SUM(J26:J33)</f>
        <v>9.1996000000000002</v>
      </c>
    </row>
    <row r="44" spans="1:30" x14ac:dyDescent="0.45">
      <c r="A44" s="21">
        <v>9</v>
      </c>
      <c r="B44" s="21">
        <v>54</v>
      </c>
      <c r="C44" s="21">
        <v>55</v>
      </c>
      <c r="D44" s="21">
        <v>0</v>
      </c>
      <c r="E44" s="24">
        <v>0.73260000000000003</v>
      </c>
      <c r="F44" s="24">
        <v>0.7863</v>
      </c>
      <c r="G44" s="25">
        <f t="shared" si="0"/>
        <v>1.1736252</v>
      </c>
      <c r="H44" s="25">
        <f t="shared" si="1"/>
        <v>1.2596526000000001</v>
      </c>
      <c r="I44" s="25">
        <v>344.78500000000003</v>
      </c>
      <c r="J44" s="26">
        <v>0.10639999999999999</v>
      </c>
      <c r="K44" s="24">
        <v>0.10639999999999999</v>
      </c>
      <c r="L44" s="24">
        <v>1.0774999999999999</v>
      </c>
      <c r="O44" s="3">
        <f>G34</f>
        <v>0</v>
      </c>
      <c r="P44">
        <v>15.025</v>
      </c>
      <c r="R44" s="13">
        <f>G34</f>
        <v>0</v>
      </c>
      <c r="S44" s="13">
        <f>$S$43+R44</f>
        <v>1.9586052</v>
      </c>
      <c r="T44" s="14">
        <f>0</f>
        <v>0</v>
      </c>
      <c r="V44" t="s">
        <v>70</v>
      </c>
      <c r="W44" s="3">
        <f>SUM(J34:J41)</f>
        <v>7.410000000000001</v>
      </c>
    </row>
    <row r="45" spans="1:30" x14ac:dyDescent="0.45">
      <c r="A45" s="21">
        <v>9</v>
      </c>
      <c r="B45" s="21">
        <v>55</v>
      </c>
      <c r="C45" s="21">
        <v>56</v>
      </c>
      <c r="D45" s="21">
        <v>0</v>
      </c>
      <c r="E45" s="24">
        <v>0.7863</v>
      </c>
      <c r="F45" s="24">
        <v>0.87839999999999996</v>
      </c>
      <c r="G45" s="25">
        <f t="shared" si="0"/>
        <v>1.2596526000000001</v>
      </c>
      <c r="H45" s="25">
        <f t="shared" si="1"/>
        <v>1.4071967999999999</v>
      </c>
      <c r="I45" s="25">
        <v>350.8075</v>
      </c>
      <c r="J45" s="26">
        <v>0.29980000000000001</v>
      </c>
      <c r="K45" s="24">
        <v>0.29980000000000001</v>
      </c>
      <c r="L45" s="24">
        <v>1.0963000000000001</v>
      </c>
      <c r="O45">
        <v>9.6440399999999996E-2</v>
      </c>
      <c r="P45">
        <v>156.495</v>
      </c>
      <c r="R45" s="13">
        <f>R44</f>
        <v>0</v>
      </c>
      <c r="S45" s="13">
        <f t="shared" ref="S45:S61" si="5">$S$43+R45</f>
        <v>1.9586052</v>
      </c>
      <c r="T45" s="14">
        <f>P44</f>
        <v>15.025</v>
      </c>
    </row>
    <row r="46" spans="1:30" x14ac:dyDescent="0.45">
      <c r="A46" s="21">
        <v>9</v>
      </c>
      <c r="B46" s="21">
        <v>56</v>
      </c>
      <c r="C46" s="21">
        <v>57</v>
      </c>
      <c r="D46" s="21">
        <v>0</v>
      </c>
      <c r="E46" s="24">
        <v>0.87839999999999996</v>
      </c>
      <c r="F46" s="24">
        <v>1.0341</v>
      </c>
      <c r="G46" s="25">
        <f t="shared" si="0"/>
        <v>1.4071967999999999</v>
      </c>
      <c r="H46" s="25">
        <f t="shared" si="1"/>
        <v>1.6566282000000001</v>
      </c>
      <c r="I46" s="25">
        <v>237.11750000000001</v>
      </c>
      <c r="J46" s="26">
        <v>1.2470000000000001</v>
      </c>
      <c r="K46" s="24">
        <v>1.2470000000000001</v>
      </c>
      <c r="L46" s="24">
        <v>0.74099999999999999</v>
      </c>
      <c r="O46">
        <v>0.37935360000000001</v>
      </c>
      <c r="P46">
        <v>199.6</v>
      </c>
      <c r="R46" s="14">
        <f>O45</f>
        <v>9.6440399999999996E-2</v>
      </c>
      <c r="S46" s="13">
        <f t="shared" si="5"/>
        <v>2.0550456000000001</v>
      </c>
      <c r="T46" s="14">
        <f>T45</f>
        <v>15.025</v>
      </c>
      <c r="V46" t="s">
        <v>72</v>
      </c>
      <c r="W46">
        <f>7*1.5</f>
        <v>10.5</v>
      </c>
      <c r="Z46" t="s">
        <v>77</v>
      </c>
      <c r="AA46">
        <v>4</v>
      </c>
    </row>
    <row r="47" spans="1:30" x14ac:dyDescent="0.45">
      <c r="A47" s="21">
        <v>9</v>
      </c>
      <c r="B47" s="21">
        <v>57</v>
      </c>
      <c r="C47" s="21">
        <v>58</v>
      </c>
      <c r="D47" s="21">
        <v>0</v>
      </c>
      <c r="E47" s="24">
        <v>1.0341</v>
      </c>
      <c r="F47" s="24">
        <v>1.1632</v>
      </c>
      <c r="G47" s="25">
        <f t="shared" si="0"/>
        <v>1.6566282000000001</v>
      </c>
      <c r="H47" s="25">
        <f t="shared" si="1"/>
        <v>1.8634464000000002</v>
      </c>
      <c r="I47" s="25">
        <v>222.35499999999999</v>
      </c>
      <c r="J47" s="26">
        <v>0.46920000000000001</v>
      </c>
      <c r="K47" s="24">
        <v>0.46920000000000001</v>
      </c>
      <c r="L47" s="24">
        <v>0.69489999999999996</v>
      </c>
      <c r="O47">
        <v>0.56903040000000005</v>
      </c>
      <c r="P47">
        <v>202.845</v>
      </c>
      <c r="R47" s="14">
        <f>R46</f>
        <v>9.6440399999999996E-2</v>
      </c>
      <c r="S47" s="13">
        <f t="shared" si="5"/>
        <v>2.0550456000000001</v>
      </c>
      <c r="T47" s="14">
        <f>P45</f>
        <v>156.495</v>
      </c>
      <c r="V47" t="s">
        <v>73</v>
      </c>
      <c r="W47">
        <f>7*1.5</f>
        <v>10.5</v>
      </c>
    </row>
    <row r="48" spans="1:30" x14ac:dyDescent="0.45">
      <c r="A48" s="21">
        <v>9</v>
      </c>
      <c r="B48" s="21">
        <v>58</v>
      </c>
      <c r="C48" s="21">
        <v>59</v>
      </c>
      <c r="D48" s="21">
        <v>0</v>
      </c>
      <c r="E48" s="24">
        <v>1.1632</v>
      </c>
      <c r="F48" s="24">
        <v>1.3128</v>
      </c>
      <c r="G48" s="25">
        <f t="shared" si="0"/>
        <v>1.8634464000000002</v>
      </c>
      <c r="H48" s="25">
        <f t="shared" si="1"/>
        <v>2.1031056000000001</v>
      </c>
      <c r="I48" s="25">
        <v>233.85249999999999</v>
      </c>
      <c r="J48" s="26">
        <v>0.3458</v>
      </c>
      <c r="K48" s="24">
        <v>0.3458</v>
      </c>
      <c r="L48" s="24">
        <v>0.73080000000000001</v>
      </c>
      <c r="O48">
        <v>0.79667460000000012</v>
      </c>
      <c r="P48">
        <v>203.91749999999999</v>
      </c>
      <c r="R48" s="14">
        <f>O46</f>
        <v>0.37935360000000001</v>
      </c>
      <c r="S48" s="13">
        <f t="shared" si="5"/>
        <v>2.3379588</v>
      </c>
      <c r="T48" s="14">
        <f>T47</f>
        <v>156.495</v>
      </c>
    </row>
    <row r="49" spans="1:27" x14ac:dyDescent="0.45">
      <c r="A49" s="21">
        <v>9</v>
      </c>
      <c r="B49" s="21">
        <v>59</v>
      </c>
      <c r="C49" s="21">
        <v>60</v>
      </c>
      <c r="D49" s="21">
        <v>0</v>
      </c>
      <c r="E49" s="24">
        <v>1.3128</v>
      </c>
      <c r="F49" s="24">
        <v>1.4934000000000001</v>
      </c>
      <c r="G49" s="25">
        <f t="shared" si="0"/>
        <v>2.1031056000000001</v>
      </c>
      <c r="H49" s="25">
        <f t="shared" si="1"/>
        <v>2.3924268000000004</v>
      </c>
      <c r="I49" s="25">
        <v>185.97499999999999</v>
      </c>
      <c r="J49" s="26">
        <v>1.3499000000000001</v>
      </c>
      <c r="K49" s="24">
        <v>1.3499000000000001</v>
      </c>
      <c r="L49" s="24">
        <v>0.58120000000000005</v>
      </c>
      <c r="O49">
        <v>0.91922760000000003</v>
      </c>
      <c r="P49">
        <v>178.08</v>
      </c>
      <c r="R49" s="14">
        <f>R48</f>
        <v>0.37935360000000001</v>
      </c>
      <c r="S49" s="13">
        <f t="shared" si="5"/>
        <v>2.3379588</v>
      </c>
      <c r="T49" s="14">
        <f>P46</f>
        <v>199.6</v>
      </c>
      <c r="V49" t="s">
        <v>75</v>
      </c>
      <c r="W49">
        <f>10+5</f>
        <v>15</v>
      </c>
    </row>
    <row r="50" spans="1:27" x14ac:dyDescent="0.45">
      <c r="A50" s="21">
        <v>9</v>
      </c>
      <c r="B50" s="21">
        <v>60</v>
      </c>
      <c r="C50" s="21">
        <v>61</v>
      </c>
      <c r="D50" s="21">
        <v>0</v>
      </c>
      <c r="E50" s="24">
        <v>1.4934000000000001</v>
      </c>
      <c r="F50" s="24">
        <v>1.7935000000000001</v>
      </c>
      <c r="G50" s="25">
        <f t="shared" si="0"/>
        <v>2.3924268000000004</v>
      </c>
      <c r="H50" s="25">
        <f t="shared" si="1"/>
        <v>2.8731870000000002</v>
      </c>
      <c r="I50" s="25">
        <v>183.44</v>
      </c>
      <c r="J50" s="26">
        <v>3.2921</v>
      </c>
      <c r="K50" s="24">
        <v>3.2921</v>
      </c>
      <c r="L50" s="24">
        <v>0.57320000000000004</v>
      </c>
      <c r="O50">
        <v>1.0914426000000002</v>
      </c>
      <c r="P50">
        <v>159.66499999999999</v>
      </c>
      <c r="R50" s="14">
        <f>O47</f>
        <v>0.56903040000000005</v>
      </c>
      <c r="S50" s="13">
        <f t="shared" si="5"/>
        <v>2.5276356</v>
      </c>
      <c r="T50" s="14">
        <f>T49</f>
        <v>199.6</v>
      </c>
      <c r="V50" t="s">
        <v>74</v>
      </c>
      <c r="W50">
        <f>10+5</f>
        <v>15</v>
      </c>
      <c r="Z50" t="s">
        <v>79</v>
      </c>
      <c r="AA50">
        <f>INT(AB42+AA46)+1</f>
        <v>6</v>
      </c>
    </row>
    <row r="51" spans="1:27" x14ac:dyDescent="0.45">
      <c r="A51" s="21">
        <v>9</v>
      </c>
      <c r="B51" s="21">
        <v>61</v>
      </c>
      <c r="C51" s="21">
        <v>52</v>
      </c>
      <c r="D51" s="21">
        <v>0</v>
      </c>
      <c r="E51" s="24">
        <v>1.7935000000000001</v>
      </c>
      <c r="F51" s="24">
        <v>1.8045</v>
      </c>
      <c r="G51" s="25">
        <f t="shared" si="0"/>
        <v>2.8731870000000002</v>
      </c>
      <c r="H51" s="25">
        <f t="shared" si="1"/>
        <v>2.890809</v>
      </c>
      <c r="I51" s="25">
        <v>160.02500000000001</v>
      </c>
      <c r="J51" s="26">
        <v>0.1142</v>
      </c>
      <c r="K51" s="24">
        <v>0.1142</v>
      </c>
      <c r="L51" s="24">
        <v>0.50009999999999999</v>
      </c>
      <c r="O51">
        <v>1.195092</v>
      </c>
      <c r="P51">
        <v>159.6575</v>
      </c>
      <c r="R51" s="14">
        <f>R50</f>
        <v>0.56903040000000005</v>
      </c>
      <c r="S51" s="13">
        <f t="shared" si="5"/>
        <v>2.5276356</v>
      </c>
      <c r="T51" s="14">
        <f>P47</f>
        <v>202.845</v>
      </c>
    </row>
    <row r="52" spans="1:27" x14ac:dyDescent="0.45">
      <c r="A52" s="21">
        <v>9</v>
      </c>
      <c r="B52" s="21">
        <v>52</v>
      </c>
      <c r="C52" s="21">
        <v>50</v>
      </c>
      <c r="D52" s="21">
        <v>0</v>
      </c>
      <c r="E52" s="24">
        <v>1.8045</v>
      </c>
      <c r="F52" s="24">
        <v>1.9610000000000001</v>
      </c>
      <c r="G52" s="25">
        <f t="shared" si="0"/>
        <v>2.890809</v>
      </c>
      <c r="H52" s="25">
        <f t="shared" si="1"/>
        <v>3.1415220000000001</v>
      </c>
      <c r="I52" s="25">
        <v>160.02500000000001</v>
      </c>
      <c r="J52" s="26">
        <v>1.0771999999999999</v>
      </c>
      <c r="K52" s="24">
        <v>1.0771999999999999</v>
      </c>
      <c r="L52" s="24">
        <v>0.50009999999999999</v>
      </c>
      <c r="O52" s="3">
        <f>H41</f>
        <v>1.5494543999999999</v>
      </c>
      <c r="R52" s="14">
        <f>O48</f>
        <v>0.79667460000000012</v>
      </c>
      <c r="S52" s="13">
        <f t="shared" si="5"/>
        <v>2.7552798000000003</v>
      </c>
      <c r="T52" s="14">
        <f>T51</f>
        <v>202.845</v>
      </c>
    </row>
    <row r="53" spans="1:27" x14ac:dyDescent="0.45">
      <c r="A53" s="31">
        <v>10</v>
      </c>
      <c r="B53" s="31">
        <v>75</v>
      </c>
      <c r="C53" s="31">
        <v>76</v>
      </c>
      <c r="D53" s="31">
        <v>0</v>
      </c>
      <c r="E53" s="32">
        <v>1.1000000000000001E-3</v>
      </c>
      <c r="F53" s="32">
        <v>0.18260000000000001</v>
      </c>
      <c r="G53" s="33">
        <f t="shared" si="0"/>
        <v>1.7622000000000002E-3</v>
      </c>
      <c r="H53" s="33">
        <f t="shared" si="1"/>
        <v>0.29252520000000004</v>
      </c>
      <c r="I53" s="33">
        <v>79.907499999999999</v>
      </c>
      <c r="J53" s="34">
        <v>0.36270000000000002</v>
      </c>
      <c r="K53" s="32">
        <v>0.36270000000000002</v>
      </c>
      <c r="L53" s="32">
        <v>0.24970000000000001</v>
      </c>
      <c r="R53" s="14">
        <f>R52</f>
        <v>0.79667460000000012</v>
      </c>
      <c r="S53" s="13">
        <f t="shared" si="5"/>
        <v>2.7552798000000003</v>
      </c>
      <c r="T53" s="14">
        <f>P48</f>
        <v>203.91749999999999</v>
      </c>
    </row>
    <row r="54" spans="1:27" x14ac:dyDescent="0.45">
      <c r="A54" s="31">
        <v>10</v>
      </c>
      <c r="B54" s="31">
        <v>76</v>
      </c>
      <c r="C54" s="31">
        <v>77</v>
      </c>
      <c r="D54" s="31">
        <v>0</v>
      </c>
      <c r="E54" s="32">
        <v>0.18260000000000001</v>
      </c>
      <c r="F54" s="32">
        <v>0.42320000000000002</v>
      </c>
      <c r="G54" s="33">
        <f t="shared" si="0"/>
        <v>0.29252520000000004</v>
      </c>
      <c r="H54" s="33">
        <f t="shared" si="1"/>
        <v>0.67796640000000008</v>
      </c>
      <c r="I54" s="33">
        <v>111.50749999999999</v>
      </c>
      <c r="J54" s="34">
        <v>0.50419999999999998</v>
      </c>
      <c r="K54" s="32">
        <v>0.50419999999999998</v>
      </c>
      <c r="L54" s="32">
        <v>0.34849999999999998</v>
      </c>
      <c r="R54" s="14">
        <f>O49</f>
        <v>0.91922760000000003</v>
      </c>
      <c r="S54" s="13">
        <f t="shared" si="5"/>
        <v>2.8778328000000002</v>
      </c>
      <c r="T54" s="14">
        <f>T53</f>
        <v>203.91749999999999</v>
      </c>
    </row>
    <row r="55" spans="1:27" x14ac:dyDescent="0.45">
      <c r="A55" s="31">
        <v>10</v>
      </c>
      <c r="B55" s="31">
        <v>77</v>
      </c>
      <c r="C55" s="31">
        <v>78</v>
      </c>
      <c r="D55" s="31">
        <v>0</v>
      </c>
      <c r="E55" s="32">
        <v>0.42320000000000002</v>
      </c>
      <c r="F55" s="32">
        <v>0.67679999999999996</v>
      </c>
      <c r="G55" s="33">
        <f t="shared" si="0"/>
        <v>0.67796640000000008</v>
      </c>
      <c r="H55" s="33">
        <f t="shared" si="1"/>
        <v>1.0842335999999999</v>
      </c>
      <c r="I55" s="33">
        <v>190.88499999999999</v>
      </c>
      <c r="J55" s="34">
        <v>0.73499999999999999</v>
      </c>
      <c r="K55" s="32">
        <v>0.73499999999999999</v>
      </c>
      <c r="L55" s="32">
        <v>0.59650000000000003</v>
      </c>
      <c r="R55" s="14">
        <f>R54</f>
        <v>0.91922760000000003</v>
      </c>
      <c r="S55" s="13">
        <f t="shared" si="5"/>
        <v>2.8778328000000002</v>
      </c>
      <c r="T55" s="14">
        <f>P49</f>
        <v>178.08</v>
      </c>
    </row>
    <row r="56" spans="1:27" x14ac:dyDescent="0.45">
      <c r="A56" s="31">
        <v>10</v>
      </c>
      <c r="B56" s="31">
        <v>78</v>
      </c>
      <c r="C56" s="31">
        <v>79</v>
      </c>
      <c r="D56" s="31">
        <v>0</v>
      </c>
      <c r="E56" s="32">
        <v>0.67679999999999996</v>
      </c>
      <c r="F56" s="32">
        <v>1.242</v>
      </c>
      <c r="G56" s="33">
        <f t="shared" si="0"/>
        <v>1.0842335999999999</v>
      </c>
      <c r="H56" s="33">
        <f t="shared" si="1"/>
        <v>1.989684</v>
      </c>
      <c r="I56" s="33">
        <v>194.715</v>
      </c>
      <c r="J56" s="34">
        <v>7.9097999999999997</v>
      </c>
      <c r="K56" s="32">
        <v>7.9097999999999997</v>
      </c>
      <c r="L56" s="32">
        <v>0.60850000000000004</v>
      </c>
      <c r="R56" s="14">
        <f>O50</f>
        <v>1.0914426000000002</v>
      </c>
      <c r="S56" s="13">
        <f t="shared" si="5"/>
        <v>3.0500478000000002</v>
      </c>
      <c r="T56" s="14">
        <f>T55</f>
        <v>178.08</v>
      </c>
    </row>
    <row r="57" spans="1:27" x14ac:dyDescent="0.45">
      <c r="A57" s="31">
        <v>10</v>
      </c>
      <c r="B57" s="31">
        <v>79</v>
      </c>
      <c r="C57" s="31">
        <v>80</v>
      </c>
      <c r="D57" s="31">
        <v>0</v>
      </c>
      <c r="E57" s="32">
        <v>1.242</v>
      </c>
      <c r="F57" s="32">
        <v>1.5078</v>
      </c>
      <c r="G57" s="33">
        <f t="shared" si="0"/>
        <v>1.989684</v>
      </c>
      <c r="H57" s="33">
        <f t="shared" si="1"/>
        <v>2.4154956000000003</v>
      </c>
      <c r="I57" s="33">
        <v>189.41749999999999</v>
      </c>
      <c r="J57" s="34">
        <v>0.71150000000000002</v>
      </c>
      <c r="K57" s="32">
        <v>0.71150000000000002</v>
      </c>
      <c r="L57" s="32">
        <v>0.59189999999999998</v>
      </c>
      <c r="R57" s="14">
        <f>R56</f>
        <v>1.0914426000000002</v>
      </c>
      <c r="S57" s="13">
        <f t="shared" si="5"/>
        <v>3.0500478000000002</v>
      </c>
      <c r="T57" s="14">
        <f>P50</f>
        <v>159.66499999999999</v>
      </c>
    </row>
    <row r="58" spans="1:27" x14ac:dyDescent="0.45">
      <c r="A58" s="31">
        <v>10</v>
      </c>
      <c r="B58" s="31">
        <v>80</v>
      </c>
      <c r="C58" s="31">
        <v>81</v>
      </c>
      <c r="D58" s="31">
        <v>0</v>
      </c>
      <c r="E58" s="32">
        <v>1.5078</v>
      </c>
      <c r="F58" s="32">
        <v>1.7568999999999999</v>
      </c>
      <c r="G58" s="33">
        <f t="shared" si="0"/>
        <v>2.4154956000000003</v>
      </c>
      <c r="H58" s="33">
        <f t="shared" si="1"/>
        <v>2.8145538000000001</v>
      </c>
      <c r="I58" s="33">
        <v>233.64750000000001</v>
      </c>
      <c r="J58" s="34">
        <v>1.06</v>
      </c>
      <c r="K58" s="32">
        <v>1.06</v>
      </c>
      <c r="L58" s="32">
        <v>0.73009999999999997</v>
      </c>
      <c r="R58" s="14">
        <f>O51</f>
        <v>1.195092</v>
      </c>
      <c r="S58" s="13">
        <f t="shared" si="5"/>
        <v>3.1536971999999999</v>
      </c>
      <c r="T58" s="14">
        <f>T57</f>
        <v>159.66499999999999</v>
      </c>
    </row>
    <row r="59" spans="1:27" x14ac:dyDescent="0.45">
      <c r="A59" s="31">
        <v>10</v>
      </c>
      <c r="B59" s="31">
        <v>81</v>
      </c>
      <c r="C59" s="31">
        <v>82</v>
      </c>
      <c r="D59" s="31">
        <v>0</v>
      </c>
      <c r="E59" s="32">
        <v>1.7568999999999999</v>
      </c>
      <c r="F59" s="32">
        <v>1.9254</v>
      </c>
      <c r="G59" s="33">
        <f t="shared" si="0"/>
        <v>2.8145538000000001</v>
      </c>
      <c r="H59" s="33">
        <f t="shared" si="1"/>
        <v>3.0844908000000002</v>
      </c>
      <c r="I59" s="33">
        <v>206.155</v>
      </c>
      <c r="J59" s="34">
        <v>1.5172000000000001</v>
      </c>
      <c r="K59" s="32">
        <v>1.5172000000000001</v>
      </c>
      <c r="L59" s="32">
        <v>0.64419999999999999</v>
      </c>
      <c r="R59" s="14">
        <f>R58</f>
        <v>1.195092</v>
      </c>
      <c r="S59" s="13">
        <f t="shared" si="5"/>
        <v>3.1536971999999999</v>
      </c>
      <c r="T59" s="14">
        <f>P51</f>
        <v>159.6575</v>
      </c>
    </row>
    <row r="60" spans="1:27" x14ac:dyDescent="0.45">
      <c r="A60" s="35">
        <v>11</v>
      </c>
      <c r="B60" s="35">
        <v>69</v>
      </c>
      <c r="C60" s="35">
        <v>71</v>
      </c>
      <c r="D60" s="35">
        <v>0</v>
      </c>
      <c r="E60" s="36">
        <v>0</v>
      </c>
      <c r="F60" s="36">
        <v>3.7000000000000002E-3</v>
      </c>
      <c r="G60" s="37">
        <f t="shared" si="0"/>
        <v>0</v>
      </c>
      <c r="H60" s="37">
        <f t="shared" si="1"/>
        <v>5.9274000000000002E-3</v>
      </c>
      <c r="I60" s="37">
        <v>86.265000000000001</v>
      </c>
      <c r="J60" s="38">
        <v>1.0800000000000001E-2</v>
      </c>
      <c r="K60" s="36">
        <v>1.0800000000000001E-2</v>
      </c>
      <c r="L60" s="36">
        <v>0.26960000000000001</v>
      </c>
      <c r="R60" s="13">
        <f>O52</f>
        <v>1.5494543999999999</v>
      </c>
      <c r="S60" s="13">
        <f t="shared" si="5"/>
        <v>3.5080596000000002</v>
      </c>
      <c r="T60" s="14">
        <f>T59</f>
        <v>159.6575</v>
      </c>
    </row>
    <row r="61" spans="1:27" x14ac:dyDescent="0.45">
      <c r="A61" s="35">
        <v>11</v>
      </c>
      <c r="B61" s="35">
        <v>71</v>
      </c>
      <c r="C61" s="35">
        <v>87</v>
      </c>
      <c r="D61" s="35">
        <v>0</v>
      </c>
      <c r="E61" s="36">
        <v>3.7000000000000002E-3</v>
      </c>
      <c r="F61" s="36">
        <v>0.74480000000000002</v>
      </c>
      <c r="G61" s="37">
        <f t="shared" si="0"/>
        <v>5.9274000000000002E-3</v>
      </c>
      <c r="H61" s="37">
        <f t="shared" si="1"/>
        <v>1.1931696000000001</v>
      </c>
      <c r="I61" s="37">
        <v>86.265000000000001</v>
      </c>
      <c r="J61" s="38">
        <v>12.250500000000001</v>
      </c>
      <c r="K61" s="36">
        <v>12.250500000000001</v>
      </c>
      <c r="L61" s="36">
        <v>0.26960000000000001</v>
      </c>
      <c r="R61" s="13">
        <f>R60</f>
        <v>1.5494543999999999</v>
      </c>
      <c r="S61" s="13">
        <f t="shared" si="5"/>
        <v>3.5080596000000002</v>
      </c>
      <c r="T61" s="14">
        <f>0</f>
        <v>0</v>
      </c>
    </row>
    <row r="62" spans="1:27" x14ac:dyDescent="0.45">
      <c r="A62" s="35">
        <v>11</v>
      </c>
      <c r="B62" s="35">
        <v>87</v>
      </c>
      <c r="C62" s="35">
        <v>88</v>
      </c>
      <c r="D62" s="35">
        <v>0</v>
      </c>
      <c r="E62" s="36">
        <v>0.74480000000000002</v>
      </c>
      <c r="F62" s="36">
        <v>0.91449999999999998</v>
      </c>
      <c r="G62" s="37">
        <f t="shared" si="0"/>
        <v>1.1931696000000001</v>
      </c>
      <c r="H62" s="37">
        <f t="shared" si="1"/>
        <v>1.4650290000000001</v>
      </c>
      <c r="I62" s="37">
        <v>49.232500000000002</v>
      </c>
      <c r="J62" s="38">
        <v>0.45429999999999998</v>
      </c>
      <c r="K62" s="36">
        <v>0.45429999999999998</v>
      </c>
      <c r="L62" s="36">
        <v>0.15390000000000001</v>
      </c>
    </row>
    <row r="63" spans="1:27" x14ac:dyDescent="0.45">
      <c r="A63" s="35">
        <v>11</v>
      </c>
      <c r="B63" s="35">
        <v>88</v>
      </c>
      <c r="C63" s="35">
        <v>89</v>
      </c>
      <c r="D63" s="35">
        <v>0</v>
      </c>
      <c r="E63" s="36">
        <v>0.91449999999999998</v>
      </c>
      <c r="F63" s="36">
        <v>1.1618999999999999</v>
      </c>
      <c r="G63" s="37">
        <f t="shared" si="0"/>
        <v>1.4650290000000001</v>
      </c>
      <c r="H63" s="37">
        <f t="shared" si="1"/>
        <v>1.8613637999999999</v>
      </c>
      <c r="I63" s="37">
        <v>104.185</v>
      </c>
      <c r="J63" s="38">
        <v>0.63460000000000005</v>
      </c>
      <c r="K63" s="36">
        <v>0.63460000000000005</v>
      </c>
      <c r="L63" s="36">
        <v>0.3256</v>
      </c>
    </row>
    <row r="64" spans="1:27" x14ac:dyDescent="0.45">
      <c r="A64" s="35">
        <v>11</v>
      </c>
      <c r="B64" s="35">
        <v>89</v>
      </c>
      <c r="C64" s="35">
        <v>90</v>
      </c>
      <c r="D64" s="35">
        <v>0</v>
      </c>
      <c r="E64" s="36">
        <v>1.1618999999999999</v>
      </c>
      <c r="F64" s="36">
        <v>1.4275</v>
      </c>
      <c r="G64" s="37">
        <f t="shared" si="0"/>
        <v>1.8613637999999999</v>
      </c>
      <c r="H64" s="37">
        <f t="shared" si="1"/>
        <v>2.2868550000000001</v>
      </c>
      <c r="I64" s="37">
        <v>390.15499999999997</v>
      </c>
      <c r="J64" s="38">
        <v>0.73029999999999995</v>
      </c>
      <c r="K64" s="36">
        <v>0.73029999999999995</v>
      </c>
      <c r="L64" s="36">
        <v>1.2192000000000001</v>
      </c>
    </row>
    <row r="65" spans="1:12" x14ac:dyDescent="0.45">
      <c r="A65" s="35">
        <v>11</v>
      </c>
      <c r="B65" s="35">
        <v>90</v>
      </c>
      <c r="C65" s="35">
        <v>91</v>
      </c>
      <c r="D65" s="35">
        <v>0</v>
      </c>
      <c r="E65" s="36">
        <v>1.4275</v>
      </c>
      <c r="F65" s="36">
        <v>1.9954000000000001</v>
      </c>
      <c r="G65" s="37">
        <f t="shared" si="0"/>
        <v>2.2868550000000001</v>
      </c>
      <c r="H65" s="37">
        <f t="shared" si="1"/>
        <v>3.1966308000000003</v>
      </c>
      <c r="I65" s="37">
        <v>444.9425</v>
      </c>
      <c r="J65" s="38">
        <v>1.5054000000000001</v>
      </c>
      <c r="K65" s="36">
        <v>1.5054000000000001</v>
      </c>
      <c r="L65" s="36">
        <v>1.3904000000000001</v>
      </c>
    </row>
    <row r="66" spans="1:12" x14ac:dyDescent="0.45">
      <c r="A66" s="35">
        <v>11</v>
      </c>
      <c r="B66" s="35">
        <v>91</v>
      </c>
      <c r="C66" s="35">
        <v>92</v>
      </c>
      <c r="D66" s="35">
        <v>0</v>
      </c>
      <c r="E66" s="36">
        <v>1.9954000000000001</v>
      </c>
      <c r="F66" s="36">
        <v>2.2521</v>
      </c>
      <c r="G66" s="37">
        <f t="shared" si="0"/>
        <v>3.1966308000000003</v>
      </c>
      <c r="H66" s="37">
        <f t="shared" si="1"/>
        <v>3.6078642000000003</v>
      </c>
      <c r="I66" s="37">
        <v>488.44499999999999</v>
      </c>
      <c r="J66" s="38">
        <v>1.8815</v>
      </c>
      <c r="K66" s="36">
        <v>1.8815</v>
      </c>
      <c r="L66" s="36">
        <v>1.5264</v>
      </c>
    </row>
    <row r="67" spans="1:12" x14ac:dyDescent="0.45">
      <c r="A67" s="35">
        <v>11</v>
      </c>
      <c r="B67" s="35">
        <v>92</v>
      </c>
      <c r="C67" s="35">
        <v>93</v>
      </c>
      <c r="D67" s="35">
        <v>0</v>
      </c>
      <c r="E67" s="36">
        <v>2.2521</v>
      </c>
      <c r="F67" s="36">
        <v>2.4251</v>
      </c>
      <c r="G67" s="37">
        <f t="shared" ref="G67:G110" si="6">E67*1.602</f>
        <v>3.6078642000000003</v>
      </c>
      <c r="H67" s="37">
        <f t="shared" ref="H67:H110" si="7">F67*1.602</f>
        <v>3.8850102000000004</v>
      </c>
      <c r="I67" s="37">
        <v>491.50749999999999</v>
      </c>
      <c r="J67" s="38">
        <v>0.48370000000000002</v>
      </c>
      <c r="K67" s="36">
        <v>0.48370000000000002</v>
      </c>
      <c r="L67" s="36">
        <v>1.536</v>
      </c>
    </row>
    <row r="68" spans="1:12" x14ac:dyDescent="0.45">
      <c r="A68" s="35">
        <v>11</v>
      </c>
      <c r="B68" s="35">
        <v>93</v>
      </c>
      <c r="C68" s="35">
        <v>94</v>
      </c>
      <c r="D68" s="35">
        <v>0</v>
      </c>
      <c r="E68" s="36">
        <v>2.4251</v>
      </c>
      <c r="F68" s="36">
        <v>2.5583999999999998</v>
      </c>
      <c r="G68" s="37">
        <f t="shared" si="6"/>
        <v>3.8850102000000004</v>
      </c>
      <c r="H68" s="37">
        <f t="shared" si="7"/>
        <v>4.0985567999999999</v>
      </c>
      <c r="I68" s="37">
        <v>441.29</v>
      </c>
      <c r="J68" s="38">
        <v>0.31319999999999998</v>
      </c>
      <c r="K68" s="36">
        <v>0.31319999999999998</v>
      </c>
      <c r="L68" s="36">
        <v>1.379</v>
      </c>
    </row>
    <row r="69" spans="1:12" x14ac:dyDescent="0.45">
      <c r="A69" s="35">
        <v>11</v>
      </c>
      <c r="B69" s="35">
        <v>94</v>
      </c>
      <c r="C69" s="35">
        <v>74</v>
      </c>
      <c r="D69" s="35">
        <v>0</v>
      </c>
      <c r="E69" s="36">
        <v>2.5583999999999998</v>
      </c>
      <c r="F69" s="36">
        <v>2.6360999999999999</v>
      </c>
      <c r="G69" s="37">
        <f t="shared" si="6"/>
        <v>4.0985567999999999</v>
      </c>
      <c r="H69" s="37">
        <f t="shared" si="7"/>
        <v>4.2230322000000005</v>
      </c>
      <c r="I69" s="37">
        <v>464.51</v>
      </c>
      <c r="J69" s="38">
        <v>0.25929999999999997</v>
      </c>
      <c r="K69" s="36">
        <v>0.25929999999999997</v>
      </c>
      <c r="L69" s="36">
        <v>1.4516</v>
      </c>
    </row>
    <row r="70" spans="1:12" x14ac:dyDescent="0.45">
      <c r="A70" s="35">
        <v>11</v>
      </c>
      <c r="B70" s="35">
        <v>74</v>
      </c>
      <c r="C70" s="35">
        <v>95</v>
      </c>
      <c r="D70" s="35">
        <v>0</v>
      </c>
      <c r="E70" s="36">
        <v>2.6360999999999999</v>
      </c>
      <c r="F70" s="36">
        <v>2.7902</v>
      </c>
      <c r="G70" s="37">
        <f t="shared" si="6"/>
        <v>4.2230322000000005</v>
      </c>
      <c r="H70" s="37">
        <f t="shared" si="7"/>
        <v>4.4699004000000002</v>
      </c>
      <c r="I70" s="37">
        <v>459.6275</v>
      </c>
      <c r="J70" s="38">
        <v>1.2388999999999999</v>
      </c>
      <c r="K70" s="36">
        <v>1.2388999999999999</v>
      </c>
      <c r="L70" s="36">
        <v>1.4362999999999999</v>
      </c>
    </row>
    <row r="71" spans="1:12" x14ac:dyDescent="0.45">
      <c r="A71" s="35">
        <v>11</v>
      </c>
      <c r="B71" s="35">
        <v>95</v>
      </c>
      <c r="C71" s="35">
        <v>96</v>
      </c>
      <c r="D71" s="35">
        <v>0</v>
      </c>
      <c r="E71" s="36">
        <v>2.7902</v>
      </c>
      <c r="F71" s="36">
        <v>2.8946000000000001</v>
      </c>
      <c r="G71" s="37">
        <f t="shared" si="6"/>
        <v>4.4699004000000002</v>
      </c>
      <c r="H71" s="37">
        <f t="shared" si="7"/>
        <v>4.6371492000000005</v>
      </c>
      <c r="I71" s="37">
        <v>424.46</v>
      </c>
      <c r="J71" s="38">
        <v>0.2432</v>
      </c>
      <c r="K71" s="36">
        <v>0.2432</v>
      </c>
      <c r="L71" s="36">
        <v>1.3264</v>
      </c>
    </row>
    <row r="72" spans="1:12" x14ac:dyDescent="0.45">
      <c r="A72" s="35">
        <v>11</v>
      </c>
      <c r="B72" s="35">
        <v>96</v>
      </c>
      <c r="C72" s="35">
        <v>97</v>
      </c>
      <c r="D72" s="35">
        <v>0</v>
      </c>
      <c r="E72" s="36">
        <v>2.8946000000000001</v>
      </c>
      <c r="F72" s="36">
        <v>2.9634999999999998</v>
      </c>
      <c r="G72" s="37">
        <f t="shared" si="6"/>
        <v>4.6371492000000005</v>
      </c>
      <c r="H72" s="37">
        <f t="shared" si="7"/>
        <v>4.7475269999999998</v>
      </c>
      <c r="I72" s="37">
        <v>420.32749999999999</v>
      </c>
      <c r="J72" s="38">
        <v>0.32300000000000001</v>
      </c>
      <c r="K72" s="36">
        <v>0.32300000000000001</v>
      </c>
      <c r="L72" s="36">
        <v>1.3134999999999999</v>
      </c>
    </row>
    <row r="73" spans="1:12" x14ac:dyDescent="0.45">
      <c r="A73" s="35">
        <v>11</v>
      </c>
      <c r="B73" s="35">
        <v>97</v>
      </c>
      <c r="C73" s="35">
        <v>98</v>
      </c>
      <c r="D73" s="35">
        <v>0</v>
      </c>
      <c r="E73" s="36">
        <v>2.9634999999999998</v>
      </c>
      <c r="F73" s="36">
        <v>3.0419</v>
      </c>
      <c r="G73" s="37">
        <f t="shared" si="6"/>
        <v>4.7475269999999998</v>
      </c>
      <c r="H73" s="37">
        <f t="shared" si="7"/>
        <v>4.8731238000000001</v>
      </c>
      <c r="I73" s="37">
        <v>410.34500000000003</v>
      </c>
      <c r="J73" s="38">
        <v>0.39379999999999998</v>
      </c>
      <c r="K73" s="36">
        <v>0.39379999999999998</v>
      </c>
      <c r="L73" s="36">
        <v>1.2823</v>
      </c>
    </row>
    <row r="74" spans="1:12" x14ac:dyDescent="0.45">
      <c r="A74" s="35">
        <v>11</v>
      </c>
      <c r="B74" s="35">
        <v>98</v>
      </c>
      <c r="C74" s="35">
        <v>68</v>
      </c>
      <c r="D74" s="35">
        <v>0</v>
      </c>
      <c r="E74" s="36">
        <v>3.0419</v>
      </c>
      <c r="F74" s="36">
        <v>3.2761999999999998</v>
      </c>
      <c r="G74" s="37">
        <f t="shared" si="6"/>
        <v>4.8731238000000001</v>
      </c>
      <c r="H74" s="37">
        <f t="shared" si="7"/>
        <v>5.2484723999999998</v>
      </c>
      <c r="I74" s="37">
        <v>409.39749999999998</v>
      </c>
      <c r="J74" s="38">
        <v>1.0898000000000001</v>
      </c>
      <c r="K74" s="36">
        <v>1.0898000000000001</v>
      </c>
      <c r="L74" s="36">
        <v>1.2794000000000001</v>
      </c>
    </row>
    <row r="75" spans="1:12" x14ac:dyDescent="0.45">
      <c r="A75" s="35">
        <v>11</v>
      </c>
      <c r="B75" s="35">
        <v>68</v>
      </c>
      <c r="C75" s="35">
        <v>66</v>
      </c>
      <c r="D75" s="35">
        <v>0</v>
      </c>
      <c r="E75" s="36">
        <v>3.2761999999999998</v>
      </c>
      <c r="F75" s="36">
        <v>3.3904999999999998</v>
      </c>
      <c r="G75" s="37">
        <f t="shared" si="6"/>
        <v>5.2484723999999998</v>
      </c>
      <c r="H75" s="37">
        <f t="shared" si="7"/>
        <v>5.4315810000000004</v>
      </c>
      <c r="I75" s="37">
        <v>86.515000000000001</v>
      </c>
      <c r="J75" s="38">
        <v>3.4466999999999999</v>
      </c>
      <c r="K75" s="36">
        <v>3.4466999999999999</v>
      </c>
      <c r="L75" s="36">
        <v>0.27039999999999997</v>
      </c>
    </row>
    <row r="76" spans="1:12" x14ac:dyDescent="0.45">
      <c r="A76" s="1">
        <v>12</v>
      </c>
      <c r="B76" s="1">
        <v>99</v>
      </c>
      <c r="C76" s="1">
        <v>119</v>
      </c>
      <c r="D76" s="1">
        <v>0</v>
      </c>
      <c r="E76" s="3">
        <v>1E-4</v>
      </c>
      <c r="F76" s="3">
        <v>0.15670000000000001</v>
      </c>
      <c r="G76" s="8">
        <f t="shared" si="6"/>
        <v>1.6020000000000002E-4</v>
      </c>
      <c r="H76" s="8">
        <f t="shared" si="7"/>
        <v>0.25103340000000002</v>
      </c>
      <c r="I76" s="8">
        <v>162.42750000000001</v>
      </c>
      <c r="J76" s="18">
        <v>3.44</v>
      </c>
      <c r="K76" s="3">
        <v>3.44</v>
      </c>
      <c r="L76" s="3">
        <v>0.50760000000000005</v>
      </c>
    </row>
    <row r="77" spans="1:12" x14ac:dyDescent="0.45">
      <c r="A77" s="1">
        <v>12</v>
      </c>
      <c r="B77" s="1">
        <v>119</v>
      </c>
      <c r="C77" s="1">
        <v>120</v>
      </c>
      <c r="D77" s="1">
        <v>0</v>
      </c>
      <c r="E77" s="3">
        <v>0.15670000000000001</v>
      </c>
      <c r="F77" s="3">
        <v>0.46629999999999999</v>
      </c>
      <c r="G77" s="8">
        <f t="shared" si="6"/>
        <v>0.25103340000000002</v>
      </c>
      <c r="H77" s="8">
        <f t="shared" si="7"/>
        <v>0.74701260000000003</v>
      </c>
      <c r="I77" s="8">
        <v>266.88499999999999</v>
      </c>
      <c r="J77" s="18">
        <v>2.7879999999999998</v>
      </c>
      <c r="K77" s="3">
        <v>2.7879999999999998</v>
      </c>
      <c r="L77" s="3">
        <v>0.83399999999999996</v>
      </c>
    </row>
    <row r="78" spans="1:12" x14ac:dyDescent="0.45">
      <c r="A78" s="1">
        <v>12</v>
      </c>
      <c r="B78" s="1">
        <v>120</v>
      </c>
      <c r="C78" s="1">
        <v>121</v>
      </c>
      <c r="D78" s="1">
        <v>0</v>
      </c>
      <c r="E78" s="3">
        <v>0.46629999999999999</v>
      </c>
      <c r="F78" s="3">
        <v>0.64890000000000003</v>
      </c>
      <c r="G78" s="8">
        <f t="shared" si="6"/>
        <v>0.74701260000000003</v>
      </c>
      <c r="H78" s="8">
        <f t="shared" si="7"/>
        <v>1.0395378000000002</v>
      </c>
      <c r="I78" s="8">
        <v>354.78750000000002</v>
      </c>
      <c r="J78" s="18">
        <v>0.97270000000000001</v>
      </c>
      <c r="K78" s="3">
        <v>0.97270000000000001</v>
      </c>
      <c r="L78" s="3">
        <v>1.1087</v>
      </c>
    </row>
    <row r="79" spans="1:12" x14ac:dyDescent="0.45">
      <c r="A79" s="1">
        <v>12</v>
      </c>
      <c r="B79" s="1">
        <v>121</v>
      </c>
      <c r="C79" s="1">
        <v>100</v>
      </c>
      <c r="D79" s="1">
        <v>0</v>
      </c>
      <c r="E79" s="3">
        <v>0.64890000000000003</v>
      </c>
      <c r="F79" s="3">
        <v>0.91669999999999996</v>
      </c>
      <c r="G79" s="8">
        <f t="shared" si="6"/>
        <v>1.0395378000000002</v>
      </c>
      <c r="H79" s="8">
        <f t="shared" si="7"/>
        <v>1.4685534</v>
      </c>
      <c r="I79" s="8">
        <v>369.22750000000002</v>
      </c>
      <c r="J79" s="18">
        <v>2.3464</v>
      </c>
      <c r="K79" s="3">
        <v>2.3464</v>
      </c>
      <c r="L79" s="3">
        <v>1.1537999999999999</v>
      </c>
    </row>
    <row r="80" spans="1:12" x14ac:dyDescent="0.45">
      <c r="A80" s="1">
        <v>12</v>
      </c>
      <c r="B80" s="1">
        <v>100</v>
      </c>
      <c r="C80" s="1">
        <v>122</v>
      </c>
      <c r="D80" s="1">
        <v>0</v>
      </c>
      <c r="E80" s="3">
        <v>0.91669999999999996</v>
      </c>
      <c r="F80" s="3">
        <v>0.91779999999999995</v>
      </c>
      <c r="G80" s="8">
        <f t="shared" si="6"/>
        <v>1.4685534</v>
      </c>
      <c r="H80" s="8">
        <f t="shared" si="7"/>
        <v>1.4703155999999999</v>
      </c>
      <c r="I80" s="8">
        <v>341.98250000000002</v>
      </c>
      <c r="J80" s="18">
        <v>2.8E-3</v>
      </c>
      <c r="K80" s="3">
        <v>2.8E-3</v>
      </c>
      <c r="L80" s="3">
        <v>1.0687</v>
      </c>
    </row>
    <row r="81" spans="1:12" x14ac:dyDescent="0.45">
      <c r="A81" s="1">
        <v>12</v>
      </c>
      <c r="B81" s="1">
        <v>122</v>
      </c>
      <c r="C81" s="1">
        <v>101</v>
      </c>
      <c r="D81" s="1">
        <v>0</v>
      </c>
      <c r="E81" s="3">
        <v>0.91779999999999995</v>
      </c>
      <c r="F81" s="3">
        <v>0.99380000000000002</v>
      </c>
      <c r="G81" s="8">
        <f t="shared" si="6"/>
        <v>1.4703155999999999</v>
      </c>
      <c r="H81" s="8">
        <f t="shared" si="7"/>
        <v>1.5920676</v>
      </c>
      <c r="I81" s="8">
        <v>341.98250000000002</v>
      </c>
      <c r="J81" s="18">
        <v>0.1734</v>
      </c>
      <c r="K81" s="3">
        <v>0.1734</v>
      </c>
      <c r="L81" s="3">
        <v>1.0687</v>
      </c>
    </row>
    <row r="82" spans="1:12" x14ac:dyDescent="0.45">
      <c r="A82" s="1">
        <v>12</v>
      </c>
      <c r="B82" s="1">
        <v>101</v>
      </c>
      <c r="C82" s="1">
        <v>123</v>
      </c>
      <c r="D82" s="1">
        <v>0</v>
      </c>
      <c r="E82" s="3">
        <v>0.99380000000000002</v>
      </c>
      <c r="F82" s="3">
        <v>0.99560000000000004</v>
      </c>
      <c r="G82" s="8">
        <f t="shared" si="6"/>
        <v>1.5920676</v>
      </c>
      <c r="H82" s="8">
        <f t="shared" si="7"/>
        <v>1.5949512000000001</v>
      </c>
      <c r="I82" s="8">
        <v>339.98</v>
      </c>
      <c r="J82" s="18">
        <v>4.8999999999999998E-3</v>
      </c>
      <c r="K82" s="3">
        <v>4.8999999999999998E-3</v>
      </c>
      <c r="L82" s="3">
        <v>1.0624</v>
      </c>
    </row>
    <row r="83" spans="1:12" x14ac:dyDescent="0.45">
      <c r="A83" s="1">
        <v>12</v>
      </c>
      <c r="B83" s="1">
        <v>123</v>
      </c>
      <c r="C83" s="1">
        <v>124</v>
      </c>
      <c r="D83" s="1">
        <v>0</v>
      </c>
      <c r="E83" s="3">
        <v>0.99560000000000004</v>
      </c>
      <c r="F83" s="3">
        <v>1.1878</v>
      </c>
      <c r="G83" s="8">
        <f t="shared" si="6"/>
        <v>1.5949512000000001</v>
      </c>
      <c r="H83" s="8">
        <f t="shared" si="7"/>
        <v>1.9028556000000001</v>
      </c>
      <c r="I83" s="8">
        <v>339.98</v>
      </c>
      <c r="J83" s="18">
        <v>0.66820000000000002</v>
      </c>
      <c r="K83" s="3">
        <v>0.66820000000000002</v>
      </c>
      <c r="L83" s="3">
        <v>1.0624</v>
      </c>
    </row>
    <row r="84" spans="1:12" x14ac:dyDescent="0.45">
      <c r="A84" s="1">
        <v>12</v>
      </c>
      <c r="B84" s="1">
        <v>124</v>
      </c>
      <c r="C84" s="1">
        <v>114</v>
      </c>
      <c r="D84" s="1">
        <v>0</v>
      </c>
      <c r="E84" s="3">
        <v>1.1878</v>
      </c>
      <c r="F84" s="3">
        <v>1.3029999999999999</v>
      </c>
      <c r="G84" s="8">
        <f t="shared" si="6"/>
        <v>1.9028556000000001</v>
      </c>
      <c r="H84" s="8">
        <f t="shared" si="7"/>
        <v>2.0874060000000001</v>
      </c>
      <c r="I84" s="8">
        <v>134.63249999999999</v>
      </c>
      <c r="J84" s="18">
        <v>3.4687999999999999</v>
      </c>
      <c r="K84" s="3">
        <v>3.4687999999999999</v>
      </c>
      <c r="L84" s="3">
        <v>0.42070000000000002</v>
      </c>
    </row>
    <row r="85" spans="1:12" x14ac:dyDescent="0.45">
      <c r="A85" s="1">
        <v>12</v>
      </c>
      <c r="B85" s="1">
        <v>114</v>
      </c>
      <c r="C85" s="1">
        <v>104</v>
      </c>
      <c r="D85" s="1">
        <v>0</v>
      </c>
      <c r="E85" s="3">
        <v>1.3029999999999999</v>
      </c>
      <c r="F85" s="3">
        <v>1.3758999999999999</v>
      </c>
      <c r="G85" s="8">
        <f t="shared" si="6"/>
        <v>2.0874060000000001</v>
      </c>
      <c r="H85" s="8">
        <f t="shared" si="7"/>
        <v>2.2041917999999998</v>
      </c>
      <c r="I85" s="8">
        <v>92.137500000000003</v>
      </c>
      <c r="J85" s="18">
        <v>0.26779999999999998</v>
      </c>
      <c r="K85" s="3">
        <v>0.26779999999999998</v>
      </c>
      <c r="L85" s="3">
        <v>0.28789999999999999</v>
      </c>
    </row>
    <row r="86" spans="1:12" x14ac:dyDescent="0.45">
      <c r="A86" s="1">
        <v>12</v>
      </c>
      <c r="B86" s="1">
        <v>104</v>
      </c>
      <c r="C86" s="1">
        <v>113</v>
      </c>
      <c r="D86" s="1">
        <v>0</v>
      </c>
      <c r="E86" s="3">
        <v>1.3758999999999999</v>
      </c>
      <c r="F86" s="3">
        <v>1.4510000000000001</v>
      </c>
      <c r="G86" s="8">
        <f t="shared" si="6"/>
        <v>2.2041917999999998</v>
      </c>
      <c r="H86" s="8">
        <f t="shared" si="7"/>
        <v>2.3245020000000003</v>
      </c>
      <c r="I86" s="8">
        <v>39.520000000000003</v>
      </c>
      <c r="J86" s="18">
        <v>0.1784</v>
      </c>
      <c r="K86" s="3">
        <v>0.1784</v>
      </c>
      <c r="L86" s="3">
        <v>0.1235</v>
      </c>
    </row>
    <row r="87" spans="1:12" x14ac:dyDescent="0.45">
      <c r="A87" s="1">
        <v>13</v>
      </c>
      <c r="B87" s="1">
        <v>128</v>
      </c>
      <c r="C87" s="1">
        <v>110</v>
      </c>
      <c r="D87" s="1">
        <v>0</v>
      </c>
      <c r="E87" s="3">
        <v>0</v>
      </c>
      <c r="F87" s="3">
        <v>6.0199999999999997E-2</v>
      </c>
      <c r="G87" s="8">
        <f t="shared" si="6"/>
        <v>0</v>
      </c>
      <c r="H87" s="8">
        <f t="shared" si="7"/>
        <v>9.6440399999999996E-2</v>
      </c>
      <c r="I87" s="8">
        <v>9.9525000000000006</v>
      </c>
      <c r="J87" s="18">
        <v>0.1749</v>
      </c>
      <c r="K87" s="3">
        <v>0.1749</v>
      </c>
      <c r="L87" s="3">
        <v>3.1099999999999999E-2</v>
      </c>
    </row>
    <row r="88" spans="1:12" x14ac:dyDescent="0.45">
      <c r="A88" s="1">
        <v>13</v>
      </c>
      <c r="B88" s="1">
        <v>110</v>
      </c>
      <c r="C88" s="1">
        <v>111</v>
      </c>
      <c r="D88" s="1">
        <v>0</v>
      </c>
      <c r="E88" s="3">
        <v>6.0199999999999997E-2</v>
      </c>
      <c r="F88" s="3">
        <v>6.1400000000000003E-2</v>
      </c>
      <c r="G88" s="8">
        <f t="shared" si="6"/>
        <v>9.6440399999999996E-2</v>
      </c>
      <c r="H88" s="8">
        <f t="shared" si="7"/>
        <v>9.8362800000000014E-2</v>
      </c>
      <c r="I88" s="8">
        <v>43.414999999999999</v>
      </c>
      <c r="J88" s="18">
        <v>3.2000000000000002E-3</v>
      </c>
      <c r="K88" s="3">
        <v>3.2000000000000002E-3</v>
      </c>
      <c r="L88" s="3">
        <v>0.13569999999999999</v>
      </c>
    </row>
    <row r="89" spans="1:12" x14ac:dyDescent="0.45">
      <c r="A89" s="1">
        <v>13</v>
      </c>
      <c r="B89" s="1">
        <v>111</v>
      </c>
      <c r="C89" s="1">
        <v>108</v>
      </c>
      <c r="D89" s="1">
        <v>0</v>
      </c>
      <c r="E89" s="3">
        <v>6.1400000000000003E-2</v>
      </c>
      <c r="F89" s="3">
        <v>0.23680000000000001</v>
      </c>
      <c r="G89" s="8">
        <f t="shared" si="6"/>
        <v>9.8362800000000014E-2</v>
      </c>
      <c r="H89" s="8">
        <f t="shared" si="7"/>
        <v>0.37935360000000001</v>
      </c>
      <c r="I89" s="8">
        <v>43.414999999999999</v>
      </c>
      <c r="J89" s="18">
        <v>2.0598999999999998</v>
      </c>
      <c r="K89" s="3">
        <v>2.0598999999999998</v>
      </c>
      <c r="L89" s="3">
        <v>0.13569999999999999</v>
      </c>
    </row>
    <row r="90" spans="1:12" x14ac:dyDescent="0.45">
      <c r="A90" s="1">
        <v>13</v>
      </c>
      <c r="B90" s="1">
        <v>108</v>
      </c>
      <c r="C90" s="1">
        <v>107</v>
      </c>
      <c r="D90" s="1">
        <v>0</v>
      </c>
      <c r="E90" s="3">
        <v>0.23680000000000001</v>
      </c>
      <c r="F90" s="3">
        <v>0.2382</v>
      </c>
      <c r="G90" s="8">
        <f t="shared" si="6"/>
        <v>0.37935360000000001</v>
      </c>
      <c r="H90" s="8">
        <f t="shared" si="7"/>
        <v>0.3815964</v>
      </c>
      <c r="I90" s="8">
        <v>45.127499999999998</v>
      </c>
      <c r="J90" s="18">
        <v>2.0400000000000001E-2</v>
      </c>
      <c r="K90" s="3">
        <v>2.0400000000000001E-2</v>
      </c>
      <c r="L90" s="3">
        <v>0.14099999999999999</v>
      </c>
    </row>
    <row r="91" spans="1:12" x14ac:dyDescent="0.45">
      <c r="A91" s="1">
        <v>13</v>
      </c>
      <c r="B91" s="1">
        <v>107</v>
      </c>
      <c r="C91" s="1">
        <v>106</v>
      </c>
      <c r="D91" s="1">
        <v>0</v>
      </c>
      <c r="E91" s="3">
        <v>0.2382</v>
      </c>
      <c r="F91" s="3">
        <v>0.35520000000000002</v>
      </c>
      <c r="G91" s="8">
        <f t="shared" si="6"/>
        <v>0.3815964</v>
      </c>
      <c r="H91" s="8">
        <f t="shared" si="7"/>
        <v>0.56903040000000005</v>
      </c>
      <c r="I91" s="8">
        <v>45.127499999999998</v>
      </c>
      <c r="J91" s="18">
        <v>0.66910000000000003</v>
      </c>
      <c r="K91" s="3">
        <v>0.66910000000000003</v>
      </c>
      <c r="L91" s="3">
        <v>0.14099999999999999</v>
      </c>
    </row>
    <row r="92" spans="1:12" x14ac:dyDescent="0.45">
      <c r="A92" s="1">
        <v>13</v>
      </c>
      <c r="B92" s="1">
        <v>106</v>
      </c>
      <c r="C92" s="1">
        <v>129</v>
      </c>
      <c r="D92" s="1">
        <v>0</v>
      </c>
      <c r="E92" s="3">
        <v>0.35520000000000002</v>
      </c>
      <c r="F92" s="3">
        <v>0.5625</v>
      </c>
      <c r="G92" s="8">
        <f t="shared" si="6"/>
        <v>0.56903040000000005</v>
      </c>
      <c r="H92" s="8">
        <f t="shared" si="7"/>
        <v>0.90112500000000006</v>
      </c>
      <c r="I92" s="8">
        <v>67.680000000000007</v>
      </c>
      <c r="J92" s="18">
        <v>1.3376999999999999</v>
      </c>
      <c r="K92" s="3">
        <v>1.3376999999999999</v>
      </c>
      <c r="L92" s="3">
        <v>0.21149999999999999</v>
      </c>
    </row>
    <row r="93" spans="1:12" x14ac:dyDescent="0.45">
      <c r="A93" s="1">
        <v>13</v>
      </c>
      <c r="B93" s="1">
        <v>129</v>
      </c>
      <c r="C93" s="1">
        <v>130</v>
      </c>
      <c r="D93" s="1">
        <v>0</v>
      </c>
      <c r="E93" s="3">
        <v>0.5625</v>
      </c>
      <c r="F93" s="3">
        <v>0.76429999999999998</v>
      </c>
      <c r="G93" s="8">
        <f t="shared" si="6"/>
        <v>0.90112500000000006</v>
      </c>
      <c r="H93" s="8">
        <f t="shared" si="7"/>
        <v>1.2244086000000001</v>
      </c>
      <c r="I93" s="8">
        <v>76.047499999999999</v>
      </c>
      <c r="J93" s="18">
        <v>1.9937</v>
      </c>
      <c r="K93" s="3">
        <v>1.9937</v>
      </c>
      <c r="L93" s="3">
        <v>0.23760000000000001</v>
      </c>
    </row>
    <row r="94" spans="1:12" x14ac:dyDescent="0.45">
      <c r="A94" s="1">
        <v>13</v>
      </c>
      <c r="B94" s="1">
        <v>130</v>
      </c>
      <c r="C94" s="1">
        <v>131</v>
      </c>
      <c r="D94" s="1">
        <v>0</v>
      </c>
      <c r="E94" s="3">
        <v>0.76429999999999998</v>
      </c>
      <c r="F94" s="3">
        <v>0.8458</v>
      </c>
      <c r="G94" s="8">
        <f t="shared" si="6"/>
        <v>1.2244086000000001</v>
      </c>
      <c r="H94" s="8">
        <f t="shared" si="7"/>
        <v>1.3549716000000001</v>
      </c>
      <c r="I94" s="8">
        <v>93.42</v>
      </c>
      <c r="J94" s="18">
        <v>1.6009</v>
      </c>
      <c r="K94" s="3">
        <v>1.6009</v>
      </c>
      <c r="L94" s="3">
        <v>0.29189999999999999</v>
      </c>
    </row>
    <row r="95" spans="1:12" x14ac:dyDescent="0.45">
      <c r="A95" s="1">
        <v>13</v>
      </c>
      <c r="B95" s="1">
        <v>131</v>
      </c>
      <c r="C95" s="1">
        <v>132</v>
      </c>
      <c r="D95" s="1">
        <v>0</v>
      </c>
      <c r="E95" s="3">
        <v>0.8458</v>
      </c>
      <c r="F95" s="3">
        <v>1.2951999999999999</v>
      </c>
      <c r="G95" s="8">
        <f t="shared" si="6"/>
        <v>1.3549716000000001</v>
      </c>
      <c r="H95" s="8">
        <f t="shared" si="7"/>
        <v>2.0749103999999998</v>
      </c>
      <c r="I95" s="8">
        <v>97.35</v>
      </c>
      <c r="J95" s="18">
        <v>1.7210000000000001</v>
      </c>
      <c r="K95" s="3">
        <v>1.7210000000000001</v>
      </c>
      <c r="L95" s="3">
        <v>0.30420000000000003</v>
      </c>
    </row>
    <row r="96" spans="1:12" x14ac:dyDescent="0.45">
      <c r="A96" s="1">
        <v>14</v>
      </c>
      <c r="B96" s="1">
        <v>134</v>
      </c>
      <c r="C96" s="1">
        <v>133</v>
      </c>
      <c r="D96" s="1">
        <v>0</v>
      </c>
      <c r="E96" s="3">
        <v>3.7000000000000002E-3</v>
      </c>
      <c r="F96" s="3">
        <v>6.1400000000000003E-2</v>
      </c>
      <c r="G96" s="8">
        <f t="shared" si="6"/>
        <v>5.9274000000000002E-3</v>
      </c>
      <c r="H96" s="8">
        <f t="shared" si="7"/>
        <v>9.8362800000000014E-2</v>
      </c>
      <c r="I96" s="8">
        <v>107.5925</v>
      </c>
      <c r="J96" s="18">
        <v>0.1673</v>
      </c>
      <c r="K96" s="3">
        <v>0.1673</v>
      </c>
      <c r="L96" s="3">
        <v>0.1076</v>
      </c>
    </row>
    <row r="97" spans="1:12" x14ac:dyDescent="0.45">
      <c r="A97" s="1">
        <v>14</v>
      </c>
      <c r="B97" s="1">
        <v>133</v>
      </c>
      <c r="C97" s="1">
        <v>135</v>
      </c>
      <c r="D97" s="1">
        <v>0</v>
      </c>
      <c r="E97" s="3">
        <v>6.1400000000000003E-2</v>
      </c>
      <c r="F97" s="3">
        <v>0.15720000000000001</v>
      </c>
      <c r="G97" s="8">
        <f t="shared" si="6"/>
        <v>9.8362800000000014E-2</v>
      </c>
      <c r="H97" s="8">
        <f t="shared" si="7"/>
        <v>0.25183440000000001</v>
      </c>
      <c r="I97" s="8">
        <v>129.73500000000001</v>
      </c>
      <c r="J97" s="18">
        <v>0.26850000000000002</v>
      </c>
      <c r="K97" s="3">
        <v>0.26850000000000002</v>
      </c>
      <c r="L97" s="3">
        <v>0.12970000000000001</v>
      </c>
    </row>
    <row r="98" spans="1:12" x14ac:dyDescent="0.45">
      <c r="A98" s="1">
        <v>14</v>
      </c>
      <c r="B98" s="1">
        <v>135</v>
      </c>
      <c r="C98" s="1">
        <v>149</v>
      </c>
      <c r="D98" s="1">
        <v>0</v>
      </c>
      <c r="E98" s="3">
        <v>0.15720000000000001</v>
      </c>
      <c r="F98" s="3">
        <v>0.57399999999999995</v>
      </c>
      <c r="G98" s="8">
        <f t="shared" si="6"/>
        <v>0.25183440000000001</v>
      </c>
      <c r="H98" s="8">
        <f t="shared" si="7"/>
        <v>0.91954800000000003</v>
      </c>
      <c r="I98" s="8">
        <v>442.10250000000002</v>
      </c>
      <c r="J98" s="18">
        <v>5.4294000000000002</v>
      </c>
      <c r="K98" s="3">
        <v>5.4294000000000002</v>
      </c>
      <c r="L98" s="3">
        <v>0.44209999999999999</v>
      </c>
    </row>
    <row r="99" spans="1:12" x14ac:dyDescent="0.45">
      <c r="A99" s="1">
        <v>14</v>
      </c>
      <c r="B99" s="1">
        <v>149</v>
      </c>
      <c r="C99" s="1">
        <v>150</v>
      </c>
      <c r="D99" s="1">
        <v>0</v>
      </c>
      <c r="E99" s="3">
        <v>0.57399999999999995</v>
      </c>
      <c r="F99" s="3">
        <v>1.0783</v>
      </c>
      <c r="G99" s="8">
        <f t="shared" si="6"/>
        <v>0.91954800000000003</v>
      </c>
      <c r="H99" s="8">
        <f t="shared" si="7"/>
        <v>1.7274366000000001</v>
      </c>
      <c r="I99" s="8">
        <v>348.26</v>
      </c>
      <c r="J99" s="18">
        <v>4.7266000000000004</v>
      </c>
      <c r="K99" s="3">
        <v>4.7266000000000004</v>
      </c>
      <c r="L99" s="3">
        <v>0.3483</v>
      </c>
    </row>
    <row r="100" spans="1:12" x14ac:dyDescent="0.45">
      <c r="A100" s="1">
        <v>14</v>
      </c>
      <c r="B100" s="1">
        <v>150</v>
      </c>
      <c r="C100" s="1">
        <v>151</v>
      </c>
      <c r="D100" s="1">
        <v>0</v>
      </c>
      <c r="E100" s="3">
        <v>1.0783</v>
      </c>
      <c r="F100" s="3">
        <v>1.3874</v>
      </c>
      <c r="G100" s="8">
        <f t="shared" si="6"/>
        <v>1.7274366000000001</v>
      </c>
      <c r="H100" s="8">
        <f t="shared" si="7"/>
        <v>2.2226148000000001</v>
      </c>
      <c r="I100" s="8">
        <v>334.61500000000001</v>
      </c>
      <c r="J100" s="18">
        <v>0.94350000000000001</v>
      </c>
      <c r="K100" s="3">
        <v>0.94350000000000001</v>
      </c>
      <c r="L100" s="3">
        <v>0.33460000000000001</v>
      </c>
    </row>
    <row r="101" spans="1:12" x14ac:dyDescent="0.45">
      <c r="A101" s="1">
        <v>14</v>
      </c>
      <c r="B101" s="1">
        <v>151</v>
      </c>
      <c r="C101" s="1">
        <v>152</v>
      </c>
      <c r="D101" s="1">
        <v>0</v>
      </c>
      <c r="E101" s="3">
        <v>1.3874</v>
      </c>
      <c r="F101" s="3">
        <v>1.6489</v>
      </c>
      <c r="G101" s="8">
        <f t="shared" si="6"/>
        <v>2.2226148000000001</v>
      </c>
      <c r="H101" s="8">
        <f t="shared" si="7"/>
        <v>2.6415378</v>
      </c>
      <c r="I101" s="8">
        <v>234.405</v>
      </c>
      <c r="J101" s="18">
        <v>1.0065999999999999</v>
      </c>
      <c r="K101" s="3">
        <v>1.0065999999999999</v>
      </c>
      <c r="L101" s="3">
        <v>0.2344</v>
      </c>
    </row>
    <row r="102" spans="1:12" x14ac:dyDescent="0.45">
      <c r="A102" s="1">
        <v>14</v>
      </c>
      <c r="B102" s="1">
        <v>152</v>
      </c>
      <c r="C102" s="1">
        <v>153</v>
      </c>
      <c r="D102" s="1">
        <v>0</v>
      </c>
      <c r="E102" s="3">
        <v>1.6489</v>
      </c>
      <c r="F102" s="3">
        <v>1.8714</v>
      </c>
      <c r="G102" s="8">
        <f t="shared" si="6"/>
        <v>2.6415378</v>
      </c>
      <c r="H102" s="8">
        <f t="shared" si="7"/>
        <v>2.9979827999999999</v>
      </c>
      <c r="I102" s="8">
        <v>254.62</v>
      </c>
      <c r="J102" s="18">
        <v>0.61209999999999998</v>
      </c>
      <c r="K102" s="3">
        <v>0.61209999999999998</v>
      </c>
      <c r="L102" s="3">
        <v>0.25459999999999999</v>
      </c>
    </row>
    <row r="103" spans="1:12" x14ac:dyDescent="0.45">
      <c r="A103" s="1">
        <v>14</v>
      </c>
      <c r="B103" s="1">
        <v>153</v>
      </c>
      <c r="C103" s="1">
        <v>154</v>
      </c>
      <c r="D103" s="1">
        <v>0</v>
      </c>
      <c r="E103" s="3">
        <v>1.8714</v>
      </c>
      <c r="F103" s="3">
        <v>2.3530000000000002</v>
      </c>
      <c r="G103" s="8">
        <f t="shared" si="6"/>
        <v>2.9979827999999999</v>
      </c>
      <c r="H103" s="8">
        <f t="shared" si="7"/>
        <v>3.7695060000000007</v>
      </c>
      <c r="I103" s="8">
        <v>263.80250000000001</v>
      </c>
      <c r="J103" s="18">
        <v>1.9044000000000001</v>
      </c>
      <c r="K103" s="3">
        <v>1.9044000000000001</v>
      </c>
      <c r="L103" s="3">
        <v>0.26379999999999998</v>
      </c>
    </row>
    <row r="104" spans="1:12" x14ac:dyDescent="0.45">
      <c r="A104" s="1">
        <v>14</v>
      </c>
      <c r="B104" s="1">
        <v>154</v>
      </c>
      <c r="C104" s="1">
        <v>137</v>
      </c>
      <c r="D104" s="1">
        <v>0</v>
      </c>
      <c r="E104" s="3">
        <v>2.3530000000000002</v>
      </c>
      <c r="F104" s="3">
        <v>2.6166</v>
      </c>
      <c r="G104" s="8">
        <f t="shared" si="6"/>
        <v>3.7695060000000007</v>
      </c>
      <c r="H104" s="8">
        <f t="shared" si="7"/>
        <v>4.1917932000000002</v>
      </c>
      <c r="I104" s="8">
        <v>150.255</v>
      </c>
      <c r="J104" s="18">
        <v>1.0074000000000001</v>
      </c>
      <c r="K104" s="3">
        <v>1.0074000000000001</v>
      </c>
      <c r="L104" s="3">
        <v>0.15029999999999999</v>
      </c>
    </row>
    <row r="105" spans="1:12" x14ac:dyDescent="0.45">
      <c r="A105" s="1">
        <v>14</v>
      </c>
      <c r="B105" s="1">
        <v>137</v>
      </c>
      <c r="C105" s="1">
        <v>138</v>
      </c>
      <c r="D105" s="1">
        <v>0</v>
      </c>
      <c r="E105" s="3">
        <v>2.6166</v>
      </c>
      <c r="F105" s="3">
        <v>2.7315</v>
      </c>
      <c r="G105" s="8">
        <f t="shared" si="6"/>
        <v>4.1917932000000002</v>
      </c>
      <c r="H105" s="8">
        <f t="shared" si="7"/>
        <v>4.3758630000000007</v>
      </c>
      <c r="I105" s="8">
        <v>159.905</v>
      </c>
      <c r="J105" s="18">
        <v>0.2908</v>
      </c>
      <c r="K105" s="3">
        <v>0.2908</v>
      </c>
      <c r="L105" s="3">
        <v>0.15989999999999999</v>
      </c>
    </row>
    <row r="106" spans="1:12" x14ac:dyDescent="0.45">
      <c r="A106" s="1">
        <v>14</v>
      </c>
      <c r="B106" s="1">
        <v>138</v>
      </c>
      <c r="C106" s="1">
        <v>139</v>
      </c>
      <c r="D106" s="1">
        <v>0</v>
      </c>
      <c r="E106" s="3">
        <v>2.7315</v>
      </c>
      <c r="F106" s="3">
        <v>2.8077999999999999</v>
      </c>
      <c r="G106" s="8">
        <f t="shared" si="6"/>
        <v>4.3758630000000007</v>
      </c>
      <c r="H106" s="8">
        <f t="shared" si="7"/>
        <v>4.4980956000000001</v>
      </c>
      <c r="I106" s="8">
        <v>227.41749999999999</v>
      </c>
      <c r="J106" s="18">
        <v>0.38040000000000002</v>
      </c>
      <c r="K106" s="3">
        <v>0.38040000000000002</v>
      </c>
      <c r="L106" s="3">
        <v>0.22739999999999999</v>
      </c>
    </row>
    <row r="107" spans="1:12" x14ac:dyDescent="0.45">
      <c r="A107" s="1">
        <v>14</v>
      </c>
      <c r="B107" s="1">
        <v>139</v>
      </c>
      <c r="C107" s="1">
        <v>141</v>
      </c>
      <c r="D107" s="1">
        <v>0</v>
      </c>
      <c r="E107" s="3">
        <v>2.8077999999999999</v>
      </c>
      <c r="F107" s="3">
        <v>2.9445999999999999</v>
      </c>
      <c r="G107" s="8">
        <f t="shared" si="6"/>
        <v>4.4980956000000001</v>
      </c>
      <c r="H107" s="8">
        <f t="shared" si="7"/>
        <v>4.7172492000000004</v>
      </c>
      <c r="I107" s="8">
        <v>240.3425</v>
      </c>
      <c r="J107" s="18">
        <v>0.39910000000000001</v>
      </c>
      <c r="K107" s="3">
        <v>0.39910000000000001</v>
      </c>
      <c r="L107" s="3">
        <v>0.24030000000000001</v>
      </c>
    </row>
    <row r="108" spans="1:12" x14ac:dyDescent="0.45">
      <c r="A108" s="1">
        <v>14</v>
      </c>
      <c r="B108" s="1">
        <v>141</v>
      </c>
      <c r="C108" s="1">
        <v>142</v>
      </c>
      <c r="D108" s="1">
        <v>0</v>
      </c>
      <c r="E108" s="3">
        <v>2.9445999999999999</v>
      </c>
      <c r="F108" s="3">
        <v>3.0215000000000001</v>
      </c>
      <c r="G108" s="8">
        <f t="shared" si="6"/>
        <v>4.7172492000000004</v>
      </c>
      <c r="H108" s="8">
        <f t="shared" si="7"/>
        <v>4.8404430000000005</v>
      </c>
      <c r="I108" s="8">
        <v>228.28749999999999</v>
      </c>
      <c r="J108" s="18">
        <v>0.1754</v>
      </c>
      <c r="K108" s="3">
        <v>0.1754</v>
      </c>
      <c r="L108" s="3">
        <v>0.2283</v>
      </c>
    </row>
    <row r="109" spans="1:12" x14ac:dyDescent="0.45">
      <c r="A109" s="1">
        <v>14</v>
      </c>
      <c r="B109" s="1">
        <v>142</v>
      </c>
      <c r="C109" s="1">
        <v>147</v>
      </c>
      <c r="D109" s="1">
        <v>0</v>
      </c>
      <c r="E109" s="3">
        <v>3.0215000000000001</v>
      </c>
      <c r="F109" s="3">
        <v>3.4036</v>
      </c>
      <c r="G109" s="8">
        <f t="shared" si="6"/>
        <v>4.8404430000000005</v>
      </c>
      <c r="H109" s="8">
        <f t="shared" si="7"/>
        <v>5.4525671999999998</v>
      </c>
      <c r="I109" s="8">
        <v>229.03</v>
      </c>
      <c r="J109" s="18">
        <v>4.4097</v>
      </c>
      <c r="K109" s="3">
        <v>4.4097</v>
      </c>
      <c r="L109" s="3">
        <v>0.22900000000000001</v>
      </c>
    </row>
    <row r="110" spans="1:12" x14ac:dyDescent="0.45">
      <c r="A110" s="1">
        <v>14</v>
      </c>
      <c r="B110" s="1">
        <v>147</v>
      </c>
      <c r="C110" s="1">
        <v>148</v>
      </c>
      <c r="D110" s="1">
        <v>0</v>
      </c>
      <c r="E110" s="3">
        <v>3.4036</v>
      </c>
      <c r="F110" s="3">
        <v>3.4786999999999999</v>
      </c>
      <c r="G110" s="8">
        <f t="shared" si="6"/>
        <v>5.4525671999999998</v>
      </c>
      <c r="H110" s="8">
        <f t="shared" si="7"/>
        <v>5.5728774000000003</v>
      </c>
      <c r="I110" s="8">
        <v>149.04750000000001</v>
      </c>
      <c r="J110" s="18">
        <v>0.1784</v>
      </c>
      <c r="K110" s="3">
        <v>0.1784</v>
      </c>
      <c r="L110" s="3">
        <v>0.14899999999999999</v>
      </c>
    </row>
    <row r="111" spans="1:12" x14ac:dyDescent="0.45">
      <c r="J111" s="18">
        <f>SUM(J26:J33)</f>
        <v>9.1996000000000002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38E8-3141-47E2-BED4-8D46B0465EAD}">
  <dimension ref="A1:AI27"/>
  <sheetViews>
    <sheetView topLeftCell="P1" zoomScale="85" workbookViewId="0">
      <selection activeCell="Y11" sqref="Y11:AC11"/>
    </sheetView>
  </sheetViews>
  <sheetFormatPr defaultRowHeight="14.25" x14ac:dyDescent="0.45"/>
  <cols>
    <col min="22" max="22" width="12.796875" customWidth="1"/>
  </cols>
  <sheetData>
    <row r="1" spans="1:35" x14ac:dyDescent="0.45">
      <c r="A1" s="1" t="s">
        <v>27</v>
      </c>
      <c r="B1" s="1" t="s">
        <v>26</v>
      </c>
      <c r="C1" s="1" t="s">
        <v>25</v>
      </c>
      <c r="D1" s="1" t="s">
        <v>24</v>
      </c>
      <c r="E1" s="3" t="s">
        <v>23</v>
      </c>
      <c r="F1" s="3" t="s">
        <v>22</v>
      </c>
      <c r="G1" s="8" t="s">
        <v>50</v>
      </c>
      <c r="H1" s="8" t="s">
        <v>51</v>
      </c>
      <c r="I1" s="8" t="s">
        <v>21</v>
      </c>
      <c r="J1" s="18" t="s">
        <v>20</v>
      </c>
      <c r="K1" s="3" t="s">
        <v>19</v>
      </c>
      <c r="L1" s="3" t="s">
        <v>18</v>
      </c>
      <c r="R1" t="s">
        <v>52</v>
      </c>
      <c r="S1" t="s">
        <v>52</v>
      </c>
      <c r="T1" t="s">
        <v>53</v>
      </c>
    </row>
    <row r="2" spans="1:35" x14ac:dyDescent="0.45">
      <c r="A2" s="21">
        <v>9</v>
      </c>
      <c r="B2" s="21">
        <v>51</v>
      </c>
      <c r="C2" s="21">
        <v>53</v>
      </c>
      <c r="D2" s="21">
        <v>0</v>
      </c>
      <c r="E2" s="24">
        <v>1E-4</v>
      </c>
      <c r="F2" s="24">
        <v>0.40889999999999999</v>
      </c>
      <c r="G2" s="25">
        <f t="shared" ref="G2:H12" si="0">E2*1.602</f>
        <v>1.6020000000000002E-4</v>
      </c>
      <c r="H2" s="25">
        <f t="shared" si="0"/>
        <v>0.65505780000000002</v>
      </c>
      <c r="I2" s="25">
        <v>201.4325</v>
      </c>
      <c r="J2" s="26">
        <v>4.1985000000000001</v>
      </c>
      <c r="K2" s="24">
        <v>4.1985000000000001</v>
      </c>
      <c r="L2" s="24">
        <v>0.62949999999999995</v>
      </c>
      <c r="O2" s="3">
        <f t="shared" ref="O2:O12" si="1">G2</f>
        <v>1.6020000000000002E-4</v>
      </c>
      <c r="P2" s="3">
        <f t="shared" ref="P2:P12" si="2">I2</f>
        <v>201.4325</v>
      </c>
      <c r="R2" s="3">
        <f>O2</f>
        <v>1.6020000000000002E-4</v>
      </c>
      <c r="S2" s="3">
        <f>R2</f>
        <v>1.6020000000000002E-4</v>
      </c>
      <c r="T2">
        <f>0</f>
        <v>0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G2" t="s">
        <v>62</v>
      </c>
      <c r="AH2" t="s">
        <v>67</v>
      </c>
      <c r="AI2" t="s">
        <v>68</v>
      </c>
    </row>
    <row r="3" spans="1:35" x14ac:dyDescent="0.45">
      <c r="A3" s="21">
        <v>9</v>
      </c>
      <c r="B3" s="21">
        <v>53</v>
      </c>
      <c r="C3" s="21">
        <v>54</v>
      </c>
      <c r="D3" s="21">
        <v>0</v>
      </c>
      <c r="E3" s="24">
        <v>0.40889999999999999</v>
      </c>
      <c r="F3" s="24">
        <v>0.73260000000000003</v>
      </c>
      <c r="G3" s="25">
        <f t="shared" si="0"/>
        <v>0.65505780000000002</v>
      </c>
      <c r="H3" s="25">
        <f t="shared" si="0"/>
        <v>1.1736252</v>
      </c>
      <c r="I3" s="25">
        <v>337.66250000000002</v>
      </c>
      <c r="J3" s="26">
        <v>1.2442</v>
      </c>
      <c r="K3" s="24">
        <v>1.2442</v>
      </c>
      <c r="L3" s="24">
        <v>1.0551999999999999</v>
      </c>
      <c r="O3" s="3">
        <f t="shared" si="1"/>
        <v>0.65505780000000002</v>
      </c>
      <c r="P3" s="3">
        <f t="shared" si="2"/>
        <v>337.66250000000002</v>
      </c>
      <c r="R3" s="3">
        <f>R2</f>
        <v>1.6020000000000002E-4</v>
      </c>
      <c r="S3" s="3">
        <f>$S$2+R3</f>
        <v>3.2040000000000004E-4</v>
      </c>
      <c r="T3" s="3">
        <f>P2</f>
        <v>201.4325</v>
      </c>
      <c r="Y3" s="3">
        <f>S25</f>
        <v>3.1416822</v>
      </c>
      <c r="Z3">
        <v>4</v>
      </c>
      <c r="AA3">
        <f>Y3*Z3</f>
        <v>12.5667288</v>
      </c>
      <c r="AB3">
        <v>6</v>
      </c>
      <c r="AC3">
        <f>AA3*AB3</f>
        <v>75.4003728</v>
      </c>
      <c r="AD3">
        <f>AC3/0.65</f>
        <v>116.00057353846154</v>
      </c>
      <c r="AG3">
        <f>AC12</f>
        <v>510.07092499999993</v>
      </c>
      <c r="AH3">
        <f>AD3</f>
        <v>116.00057353846154</v>
      </c>
      <c r="AI3" s="17">
        <f>AG3/AH3</f>
        <v>4.3971414057783011</v>
      </c>
    </row>
    <row r="4" spans="1:35" x14ac:dyDescent="0.45">
      <c r="A4" s="21">
        <v>9</v>
      </c>
      <c r="B4" s="21">
        <v>54</v>
      </c>
      <c r="C4" s="21">
        <v>55</v>
      </c>
      <c r="D4" s="21">
        <v>0</v>
      </c>
      <c r="E4" s="24">
        <v>0.73260000000000003</v>
      </c>
      <c r="F4" s="24">
        <v>0.7863</v>
      </c>
      <c r="G4" s="25">
        <f t="shared" si="0"/>
        <v>1.1736252</v>
      </c>
      <c r="H4" s="25">
        <f t="shared" si="0"/>
        <v>1.2596526000000001</v>
      </c>
      <c r="I4" s="25">
        <v>344.78500000000003</v>
      </c>
      <c r="J4" s="26">
        <v>0.10639999999999999</v>
      </c>
      <c r="K4" s="24">
        <v>0.10639999999999999</v>
      </c>
      <c r="L4" s="24">
        <v>1.0774999999999999</v>
      </c>
      <c r="O4" s="3">
        <f t="shared" si="1"/>
        <v>1.1736252</v>
      </c>
      <c r="P4" s="3">
        <f t="shared" si="2"/>
        <v>344.78500000000003</v>
      </c>
      <c r="R4" s="3">
        <f>O3</f>
        <v>0.65505780000000002</v>
      </c>
      <c r="S4" s="3">
        <f t="shared" ref="S4:S25" si="3">$S$2+R4</f>
        <v>0.65521800000000008</v>
      </c>
      <c r="T4" s="3">
        <f>T3</f>
        <v>201.4325</v>
      </c>
      <c r="V4">
        <v>0</v>
      </c>
      <c r="W4">
        <v>0</v>
      </c>
    </row>
    <row r="5" spans="1:35" x14ac:dyDescent="0.45">
      <c r="A5" s="21">
        <v>9</v>
      </c>
      <c r="B5" s="21">
        <v>55</v>
      </c>
      <c r="C5" s="21">
        <v>56</v>
      </c>
      <c r="D5" s="21">
        <v>0</v>
      </c>
      <c r="E5" s="24">
        <v>0.7863</v>
      </c>
      <c r="F5" s="24">
        <v>0.87839999999999996</v>
      </c>
      <c r="G5" s="25">
        <f t="shared" si="0"/>
        <v>1.2596526000000001</v>
      </c>
      <c r="H5" s="25">
        <f t="shared" si="0"/>
        <v>1.4071967999999999</v>
      </c>
      <c r="I5" s="25">
        <v>350.8075</v>
      </c>
      <c r="J5" s="26">
        <v>0.29980000000000001</v>
      </c>
      <c r="K5" s="24">
        <v>0.29980000000000001</v>
      </c>
      <c r="L5" s="24">
        <v>1.0963000000000001</v>
      </c>
      <c r="O5" s="3">
        <f t="shared" si="1"/>
        <v>1.2596526000000001</v>
      </c>
      <c r="P5" s="3">
        <f t="shared" si="2"/>
        <v>350.8075</v>
      </c>
      <c r="R5" s="3">
        <f>R4</f>
        <v>0.65505780000000002</v>
      </c>
      <c r="S5" s="3">
        <f t="shared" si="3"/>
        <v>0.65521800000000008</v>
      </c>
      <c r="T5" s="3">
        <f>P3</f>
        <v>337.66250000000002</v>
      </c>
      <c r="V5">
        <v>0</v>
      </c>
      <c r="W5">
        <v>320</v>
      </c>
    </row>
    <row r="6" spans="1:35" x14ac:dyDescent="0.45">
      <c r="A6" s="21">
        <v>9</v>
      </c>
      <c r="B6" s="21">
        <v>56</v>
      </c>
      <c r="C6" s="21">
        <v>57</v>
      </c>
      <c r="D6" s="21">
        <v>0</v>
      </c>
      <c r="E6" s="24">
        <v>0.87839999999999996</v>
      </c>
      <c r="F6" s="24">
        <v>1.0341</v>
      </c>
      <c r="G6" s="25">
        <f t="shared" si="0"/>
        <v>1.4071967999999999</v>
      </c>
      <c r="H6" s="25">
        <f t="shared" si="0"/>
        <v>1.6566282000000001</v>
      </c>
      <c r="I6" s="25">
        <v>237.11750000000001</v>
      </c>
      <c r="J6" s="26">
        <v>1.2470000000000001</v>
      </c>
      <c r="K6" s="24">
        <v>1.2470000000000001</v>
      </c>
      <c r="L6" s="24">
        <v>0.74099999999999999</v>
      </c>
      <c r="O6" s="3">
        <f t="shared" si="1"/>
        <v>1.4071967999999999</v>
      </c>
      <c r="P6" s="3">
        <f t="shared" si="2"/>
        <v>237.11750000000001</v>
      </c>
      <c r="R6" s="3">
        <f>O4</f>
        <v>1.1736252</v>
      </c>
      <c r="S6" s="3">
        <f t="shared" si="3"/>
        <v>1.1737854000000001</v>
      </c>
      <c r="T6" s="3">
        <f>T5</f>
        <v>337.66250000000002</v>
      </c>
      <c r="V6" s="3">
        <f>S25</f>
        <v>3.1416822</v>
      </c>
      <c r="W6">
        <v>320</v>
      </c>
    </row>
    <row r="7" spans="1:35" x14ac:dyDescent="0.45">
      <c r="A7" s="21">
        <v>9</v>
      </c>
      <c r="B7" s="21">
        <v>57</v>
      </c>
      <c r="C7" s="21">
        <v>58</v>
      </c>
      <c r="D7" s="21">
        <v>0</v>
      </c>
      <c r="E7" s="24">
        <v>1.0341</v>
      </c>
      <c r="F7" s="24">
        <v>1.1632</v>
      </c>
      <c r="G7" s="25">
        <f t="shared" si="0"/>
        <v>1.6566282000000001</v>
      </c>
      <c r="H7" s="25">
        <f t="shared" si="0"/>
        <v>1.8634464000000002</v>
      </c>
      <c r="I7" s="25">
        <v>222.35499999999999</v>
      </c>
      <c r="J7" s="26">
        <v>0.46920000000000001</v>
      </c>
      <c r="K7" s="24">
        <v>0.46920000000000001</v>
      </c>
      <c r="L7" s="24">
        <v>0.69489999999999996</v>
      </c>
      <c r="O7" s="3">
        <f t="shared" si="1"/>
        <v>1.6566282000000001</v>
      </c>
      <c r="P7" s="3">
        <f t="shared" si="2"/>
        <v>222.35499999999999</v>
      </c>
      <c r="R7" s="3">
        <f>R6</f>
        <v>1.1736252</v>
      </c>
      <c r="S7" s="3">
        <f t="shared" si="3"/>
        <v>1.1737854000000001</v>
      </c>
      <c r="T7" s="3">
        <f>P4</f>
        <v>344.78500000000003</v>
      </c>
      <c r="V7" s="3">
        <f>V6</f>
        <v>3.1416822</v>
      </c>
      <c r="W7">
        <v>0</v>
      </c>
    </row>
    <row r="8" spans="1:35" x14ac:dyDescent="0.45">
      <c r="A8" s="21">
        <v>9</v>
      </c>
      <c r="B8" s="21">
        <v>58</v>
      </c>
      <c r="C8" s="21">
        <v>59</v>
      </c>
      <c r="D8" s="21">
        <v>0</v>
      </c>
      <c r="E8" s="24">
        <v>1.1632</v>
      </c>
      <c r="F8" s="24">
        <v>1.3128</v>
      </c>
      <c r="G8" s="25">
        <f t="shared" si="0"/>
        <v>1.8634464000000002</v>
      </c>
      <c r="H8" s="25">
        <f t="shared" si="0"/>
        <v>2.1031056000000001</v>
      </c>
      <c r="I8" s="25">
        <v>233.85249999999999</v>
      </c>
      <c r="J8" s="26">
        <v>0.3458</v>
      </c>
      <c r="K8" s="24">
        <v>0.3458</v>
      </c>
      <c r="L8" s="24">
        <v>0.73080000000000001</v>
      </c>
      <c r="O8" s="3">
        <f t="shared" si="1"/>
        <v>1.8634464000000002</v>
      </c>
      <c r="P8" s="3">
        <f t="shared" si="2"/>
        <v>233.85249999999999</v>
      </c>
      <c r="R8" s="3">
        <f>O5</f>
        <v>1.2596526000000001</v>
      </c>
      <c r="S8" s="3">
        <f t="shared" si="3"/>
        <v>1.2598128000000002</v>
      </c>
      <c r="T8" s="3">
        <f>T7</f>
        <v>344.78500000000003</v>
      </c>
    </row>
    <row r="9" spans="1:35" x14ac:dyDescent="0.45">
      <c r="A9" s="21">
        <v>9</v>
      </c>
      <c r="B9" s="21">
        <v>59</v>
      </c>
      <c r="C9" s="21">
        <v>60</v>
      </c>
      <c r="D9" s="21">
        <v>0</v>
      </c>
      <c r="E9" s="24">
        <v>1.3128</v>
      </c>
      <c r="F9" s="24">
        <v>1.4934000000000001</v>
      </c>
      <c r="G9" s="25">
        <f t="shared" si="0"/>
        <v>2.1031056000000001</v>
      </c>
      <c r="H9" s="25">
        <f t="shared" si="0"/>
        <v>2.3924268000000004</v>
      </c>
      <c r="I9" s="25">
        <v>185.97499999999999</v>
      </c>
      <c r="J9" s="26">
        <v>1.3499000000000001</v>
      </c>
      <c r="K9" s="24">
        <v>1.3499000000000001</v>
      </c>
      <c r="L9" s="24">
        <v>0.58120000000000005</v>
      </c>
      <c r="O9" s="3">
        <f t="shared" si="1"/>
        <v>2.1031056000000001</v>
      </c>
      <c r="P9" s="3">
        <f t="shared" si="2"/>
        <v>185.97499999999999</v>
      </c>
      <c r="R9" s="3">
        <f>R8</f>
        <v>1.2596526000000001</v>
      </c>
      <c r="S9" s="3">
        <f t="shared" si="3"/>
        <v>1.2598128000000002</v>
      </c>
      <c r="T9" s="3">
        <f>P5</f>
        <v>350.8075</v>
      </c>
    </row>
    <row r="10" spans="1:35" x14ac:dyDescent="0.45">
      <c r="A10" s="21">
        <v>9</v>
      </c>
      <c r="B10" s="21">
        <v>60</v>
      </c>
      <c r="C10" s="21">
        <v>61</v>
      </c>
      <c r="D10" s="21">
        <v>0</v>
      </c>
      <c r="E10" s="24">
        <v>1.4934000000000001</v>
      </c>
      <c r="F10" s="24">
        <v>1.7935000000000001</v>
      </c>
      <c r="G10" s="25">
        <f t="shared" si="0"/>
        <v>2.3924268000000004</v>
      </c>
      <c r="H10" s="25">
        <f t="shared" si="0"/>
        <v>2.8731870000000002</v>
      </c>
      <c r="I10" s="25">
        <v>183.44</v>
      </c>
      <c r="J10" s="26">
        <v>3.2921</v>
      </c>
      <c r="K10" s="24">
        <v>3.2921</v>
      </c>
      <c r="L10" s="24">
        <v>0.57320000000000004</v>
      </c>
      <c r="O10" s="3">
        <f t="shared" si="1"/>
        <v>2.3924268000000004</v>
      </c>
      <c r="P10" s="3">
        <f t="shared" si="2"/>
        <v>183.44</v>
      </c>
      <c r="R10" s="3">
        <f>O6</f>
        <v>1.4071967999999999</v>
      </c>
      <c r="S10" s="3">
        <f t="shared" si="3"/>
        <v>1.407357</v>
      </c>
      <c r="T10" s="3">
        <f>T9</f>
        <v>350.8075</v>
      </c>
    </row>
    <row r="11" spans="1:35" x14ac:dyDescent="0.45">
      <c r="A11" s="21">
        <v>9</v>
      </c>
      <c r="B11" s="21">
        <v>61</v>
      </c>
      <c r="C11" s="21">
        <v>52</v>
      </c>
      <c r="D11" s="21">
        <v>0</v>
      </c>
      <c r="E11" s="24">
        <v>1.7935000000000001</v>
      </c>
      <c r="F11" s="24">
        <v>1.8045</v>
      </c>
      <c r="G11" s="25">
        <f t="shared" si="0"/>
        <v>2.8731870000000002</v>
      </c>
      <c r="H11" s="25">
        <f t="shared" si="0"/>
        <v>2.890809</v>
      </c>
      <c r="I11" s="25">
        <v>160.02500000000001</v>
      </c>
      <c r="J11" s="26">
        <v>0.1142</v>
      </c>
      <c r="K11" s="24">
        <v>0.1142</v>
      </c>
      <c r="L11" s="24">
        <v>0.50009999999999999</v>
      </c>
      <c r="O11" s="3">
        <f t="shared" si="1"/>
        <v>2.8731870000000002</v>
      </c>
      <c r="P11" s="3">
        <f t="shared" si="2"/>
        <v>160.02500000000001</v>
      </c>
      <c r="R11" s="3">
        <f>R10</f>
        <v>1.4071967999999999</v>
      </c>
      <c r="S11" s="3">
        <f t="shared" si="3"/>
        <v>1.407357</v>
      </c>
      <c r="T11" s="3">
        <f>P6</f>
        <v>237.11750000000001</v>
      </c>
      <c r="Y11" t="s">
        <v>60</v>
      </c>
      <c r="Z11" t="s">
        <v>61</v>
      </c>
      <c r="AA11" t="s">
        <v>62</v>
      </c>
      <c r="AB11" t="s">
        <v>63</v>
      </c>
      <c r="AC11" t="s">
        <v>64</v>
      </c>
    </row>
    <row r="12" spans="1:35" x14ac:dyDescent="0.45">
      <c r="A12" s="21">
        <v>9</v>
      </c>
      <c r="B12" s="21">
        <v>52</v>
      </c>
      <c r="C12" s="21">
        <v>50</v>
      </c>
      <c r="D12" s="21">
        <v>0</v>
      </c>
      <c r="E12" s="24">
        <v>1.8045</v>
      </c>
      <c r="F12" s="24">
        <v>1.9610000000000001</v>
      </c>
      <c r="G12" s="25">
        <f t="shared" si="0"/>
        <v>2.890809</v>
      </c>
      <c r="H12" s="25">
        <f t="shared" si="0"/>
        <v>3.1415220000000001</v>
      </c>
      <c r="I12" s="25">
        <v>160.02500000000001</v>
      </c>
      <c r="J12" s="26">
        <v>1.0771999999999999</v>
      </c>
      <c r="K12" s="24">
        <v>1.0771999999999999</v>
      </c>
      <c r="L12" s="24">
        <v>0.50009999999999999</v>
      </c>
      <c r="O12" s="3">
        <f t="shared" si="1"/>
        <v>2.890809</v>
      </c>
      <c r="P12" s="3">
        <f t="shared" si="2"/>
        <v>160.02500000000001</v>
      </c>
      <c r="R12" s="3">
        <f>O7</f>
        <v>1.6566282000000001</v>
      </c>
      <c r="S12" s="3">
        <f t="shared" si="3"/>
        <v>1.6567884000000002</v>
      </c>
      <c r="T12" s="3">
        <f>T11</f>
        <v>237.11750000000001</v>
      </c>
      <c r="Y12" s="3">
        <v>560.51749999999993</v>
      </c>
      <c r="Z12">
        <v>1.3</v>
      </c>
      <c r="AA12">
        <v>728.67274999999995</v>
      </c>
      <c r="AB12" s="16">
        <v>0.3</v>
      </c>
      <c r="AC12">
        <v>510.07092499999993</v>
      </c>
    </row>
    <row r="13" spans="1:35" x14ac:dyDescent="0.45">
      <c r="O13" s="3">
        <f>H12</f>
        <v>3.1415220000000001</v>
      </c>
      <c r="P13" s="3">
        <f>0</f>
        <v>0</v>
      </c>
      <c r="R13" s="3">
        <f>R12</f>
        <v>1.6566282000000001</v>
      </c>
      <c r="S13" s="3">
        <f t="shared" si="3"/>
        <v>1.6567884000000002</v>
      </c>
      <c r="T13" s="3">
        <f>P7</f>
        <v>222.35499999999999</v>
      </c>
    </row>
    <row r="14" spans="1:35" x14ac:dyDescent="0.45">
      <c r="O14" s="3"/>
      <c r="R14" s="3">
        <f>O8</f>
        <v>1.8634464000000002</v>
      </c>
      <c r="S14" s="3">
        <f t="shared" si="3"/>
        <v>1.8636066000000002</v>
      </c>
      <c r="T14" s="3">
        <f>T13</f>
        <v>222.35499999999999</v>
      </c>
    </row>
    <row r="15" spans="1:35" x14ac:dyDescent="0.45">
      <c r="R15" s="3">
        <f>R14</f>
        <v>1.8634464000000002</v>
      </c>
      <c r="S15" s="3">
        <f t="shared" si="3"/>
        <v>1.8636066000000002</v>
      </c>
      <c r="T15" s="3">
        <f>P8</f>
        <v>233.85249999999999</v>
      </c>
    </row>
    <row r="16" spans="1:35" x14ac:dyDescent="0.45">
      <c r="R16" s="3">
        <f>O9</f>
        <v>2.1031056000000001</v>
      </c>
      <c r="S16" s="3">
        <f t="shared" si="3"/>
        <v>2.1032658</v>
      </c>
      <c r="T16" s="3">
        <f>T15</f>
        <v>233.85249999999999</v>
      </c>
    </row>
    <row r="17" spans="18:29" x14ac:dyDescent="0.45">
      <c r="R17" s="3">
        <f>R16</f>
        <v>2.1031056000000001</v>
      </c>
      <c r="S17" s="3">
        <f t="shared" si="3"/>
        <v>2.1032658</v>
      </c>
      <c r="T17" s="3">
        <f>P9</f>
        <v>185.97499999999999</v>
      </c>
    </row>
    <row r="18" spans="18:29" x14ac:dyDescent="0.45">
      <c r="R18" s="3">
        <f>O10</f>
        <v>2.3924268000000004</v>
      </c>
      <c r="S18" s="3">
        <f t="shared" si="3"/>
        <v>2.3925870000000002</v>
      </c>
      <c r="T18" s="3">
        <f>T17</f>
        <v>185.97499999999999</v>
      </c>
      <c r="W18" t="s">
        <v>71</v>
      </c>
      <c r="AB18" t="s">
        <v>71</v>
      </c>
      <c r="AC18" t="s">
        <v>78</v>
      </c>
    </row>
    <row r="19" spans="18:29" x14ac:dyDescent="0.45">
      <c r="R19" s="3">
        <f>R18</f>
        <v>2.3924268000000004</v>
      </c>
      <c r="S19" s="3">
        <f t="shared" si="3"/>
        <v>2.3925870000000002</v>
      </c>
      <c r="T19" s="3">
        <f>P10</f>
        <v>183.44</v>
      </c>
      <c r="V19" t="s">
        <v>80</v>
      </c>
      <c r="W19" s="3">
        <f>SUM(J2:J12)</f>
        <v>13.744299999999999</v>
      </c>
      <c r="AA19" t="s">
        <v>76</v>
      </c>
      <c r="AB19" s="3">
        <f>W19+W22+W25</f>
        <v>43.744299999999996</v>
      </c>
      <c r="AC19">
        <f>AB19/60</f>
        <v>0.72907166666666656</v>
      </c>
    </row>
    <row r="20" spans="18:29" x14ac:dyDescent="0.45">
      <c r="R20" s="3">
        <f>O11</f>
        <v>2.8731870000000002</v>
      </c>
      <c r="S20" s="3">
        <f t="shared" si="3"/>
        <v>2.8733472</v>
      </c>
      <c r="T20" s="3">
        <f>T19</f>
        <v>183.44</v>
      </c>
      <c r="W20" s="3"/>
    </row>
    <row r="21" spans="18:29" x14ac:dyDescent="0.45">
      <c r="R21" s="3">
        <f>R20</f>
        <v>2.8731870000000002</v>
      </c>
      <c r="S21" s="3">
        <f t="shared" si="3"/>
        <v>2.8733472</v>
      </c>
      <c r="T21" s="3">
        <f>P11</f>
        <v>160.02500000000001</v>
      </c>
    </row>
    <row r="22" spans="18:29" x14ac:dyDescent="0.45">
      <c r="R22" s="3">
        <f>O12</f>
        <v>2.890809</v>
      </c>
      <c r="S22" s="3">
        <f t="shared" si="3"/>
        <v>2.8909691999999998</v>
      </c>
      <c r="T22" s="3">
        <f>T21</f>
        <v>160.02500000000001</v>
      </c>
      <c r="V22" t="s">
        <v>72</v>
      </c>
      <c r="W22">
        <f>10*1.5</f>
        <v>15</v>
      </c>
    </row>
    <row r="23" spans="18:29" x14ac:dyDescent="0.45">
      <c r="R23" s="3">
        <f>R22</f>
        <v>2.890809</v>
      </c>
      <c r="S23" s="3">
        <f t="shared" si="3"/>
        <v>2.8909691999999998</v>
      </c>
      <c r="T23" s="3">
        <f>P12</f>
        <v>160.02500000000001</v>
      </c>
      <c r="AA23" t="s">
        <v>77</v>
      </c>
      <c r="AB23">
        <v>4</v>
      </c>
    </row>
    <row r="24" spans="18:29" x14ac:dyDescent="0.45">
      <c r="R24" s="3">
        <f>O13</f>
        <v>3.1415220000000001</v>
      </c>
      <c r="S24" s="3">
        <f t="shared" si="3"/>
        <v>3.1416822</v>
      </c>
      <c r="T24" s="3">
        <f>T23</f>
        <v>160.02500000000001</v>
      </c>
    </row>
    <row r="25" spans="18:29" x14ac:dyDescent="0.45">
      <c r="R25" s="3">
        <f>R24</f>
        <v>3.1415220000000001</v>
      </c>
      <c r="S25" s="3">
        <f t="shared" si="3"/>
        <v>3.1416822</v>
      </c>
      <c r="T25">
        <f>0</f>
        <v>0</v>
      </c>
      <c r="V25" t="s">
        <v>75</v>
      </c>
      <c r="W25">
        <f>10+5</f>
        <v>15</v>
      </c>
    </row>
    <row r="27" spans="18:29" x14ac:dyDescent="0.45">
      <c r="AA27" t="s">
        <v>79</v>
      </c>
      <c r="AB27">
        <f>INT(AC19+AB23)+1</f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6BBD-F066-4538-B9E4-A50F83BF0088}">
  <dimension ref="A1:AI25"/>
  <sheetViews>
    <sheetView topLeftCell="P2" zoomScale="83" workbookViewId="0">
      <selection activeCell="U16" sqref="U16:AB25"/>
    </sheetView>
  </sheetViews>
  <sheetFormatPr defaultRowHeight="14.25" x14ac:dyDescent="0.45"/>
  <sheetData>
    <row r="1" spans="1:35" x14ac:dyDescent="0.45">
      <c r="A1" s="1" t="s">
        <v>27</v>
      </c>
      <c r="B1" s="1" t="s">
        <v>26</v>
      </c>
      <c r="C1" s="1" t="s">
        <v>25</v>
      </c>
      <c r="D1" s="1" t="s">
        <v>24</v>
      </c>
      <c r="E1" s="3" t="s">
        <v>23</v>
      </c>
      <c r="F1" s="3" t="s">
        <v>22</v>
      </c>
      <c r="G1" s="8" t="s">
        <v>50</v>
      </c>
      <c r="H1" s="8" t="s">
        <v>51</v>
      </c>
      <c r="I1" s="8" t="s">
        <v>21</v>
      </c>
      <c r="J1" s="18" t="s">
        <v>20</v>
      </c>
      <c r="K1" s="3" t="s">
        <v>19</v>
      </c>
      <c r="L1" s="3" t="s">
        <v>18</v>
      </c>
    </row>
    <row r="2" spans="1:35" x14ac:dyDescent="0.45">
      <c r="A2" s="31">
        <v>10</v>
      </c>
      <c r="B2" s="31">
        <v>75</v>
      </c>
      <c r="C2" s="31">
        <v>76</v>
      </c>
      <c r="D2" s="31">
        <v>0</v>
      </c>
      <c r="E2" s="32">
        <v>1.1000000000000001E-3</v>
      </c>
      <c r="F2" s="32">
        <v>0.18260000000000001</v>
      </c>
      <c r="G2" s="33">
        <f t="shared" ref="G2:H8" si="0">E2*1.602</f>
        <v>1.7622000000000002E-3</v>
      </c>
      <c r="H2" s="33">
        <f t="shared" si="0"/>
        <v>0.29252520000000004</v>
      </c>
      <c r="I2" s="33">
        <v>79.907499999999999</v>
      </c>
      <c r="J2" s="34">
        <v>0.36270000000000002</v>
      </c>
      <c r="K2" s="32">
        <v>0.36270000000000002</v>
      </c>
      <c r="L2" s="32">
        <v>0.24970000000000001</v>
      </c>
    </row>
    <row r="3" spans="1:35" x14ac:dyDescent="0.45">
      <c r="A3" s="31">
        <v>10</v>
      </c>
      <c r="B3" s="31">
        <v>76</v>
      </c>
      <c r="C3" s="31">
        <v>77</v>
      </c>
      <c r="D3" s="31">
        <v>0</v>
      </c>
      <c r="E3" s="32">
        <v>0.18260000000000001</v>
      </c>
      <c r="F3" s="32">
        <v>0.42320000000000002</v>
      </c>
      <c r="G3" s="33">
        <f t="shared" si="0"/>
        <v>0.29252520000000004</v>
      </c>
      <c r="H3" s="33">
        <f t="shared" si="0"/>
        <v>0.67796640000000008</v>
      </c>
      <c r="I3" s="33">
        <v>111.50749999999999</v>
      </c>
      <c r="J3" s="34">
        <v>0.50419999999999998</v>
      </c>
      <c r="K3" s="32">
        <v>0.50419999999999998</v>
      </c>
      <c r="L3" s="32">
        <v>0.34849999999999998</v>
      </c>
      <c r="R3" t="s">
        <v>52</v>
      </c>
      <c r="S3" t="s">
        <v>53</v>
      </c>
      <c r="U3">
        <v>0</v>
      </c>
      <c r="V3">
        <f>0</f>
        <v>0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G3" t="s">
        <v>62</v>
      </c>
      <c r="AH3" t="s">
        <v>67</v>
      </c>
      <c r="AI3" t="s">
        <v>68</v>
      </c>
    </row>
    <row r="4" spans="1:35" x14ac:dyDescent="0.45">
      <c r="A4" s="31">
        <v>10</v>
      </c>
      <c r="B4" s="31">
        <v>77</v>
      </c>
      <c r="C4" s="31">
        <v>78</v>
      </c>
      <c r="D4" s="31">
        <v>0</v>
      </c>
      <c r="E4" s="32">
        <v>0.42320000000000002</v>
      </c>
      <c r="F4" s="32">
        <v>0.67679999999999996</v>
      </c>
      <c r="G4" s="33">
        <f t="shared" si="0"/>
        <v>0.67796640000000008</v>
      </c>
      <c r="H4" s="33">
        <f t="shared" si="0"/>
        <v>1.0842335999999999</v>
      </c>
      <c r="I4" s="33">
        <v>190.88499999999999</v>
      </c>
      <c r="J4" s="34">
        <v>0.73499999999999999</v>
      </c>
      <c r="K4" s="32">
        <v>0.73499999999999999</v>
      </c>
      <c r="L4" s="32">
        <v>0.59650000000000003</v>
      </c>
      <c r="O4" s="3">
        <f>G2</f>
        <v>1.7622000000000002E-3</v>
      </c>
      <c r="P4" s="3">
        <f>I2</f>
        <v>79.907499999999999</v>
      </c>
      <c r="R4" s="3">
        <f>O4</f>
        <v>1.7622000000000002E-3</v>
      </c>
      <c r="S4">
        <f>0</f>
        <v>0</v>
      </c>
      <c r="U4">
        <v>0</v>
      </c>
      <c r="V4">
        <v>320</v>
      </c>
      <c r="Y4" s="3">
        <f>R19</f>
        <v>3.0844908000000002</v>
      </c>
      <c r="Z4">
        <v>4</v>
      </c>
      <c r="AA4">
        <f>Y4*Z4</f>
        <v>12.337963200000001</v>
      </c>
      <c r="AB4">
        <v>6</v>
      </c>
      <c r="AC4">
        <f>AA4*AB4</f>
        <v>74.027779199999998</v>
      </c>
      <c r="AD4">
        <f>AC4/0.65</f>
        <v>113.88889107692307</v>
      </c>
      <c r="AG4">
        <f>AC9</f>
        <v>319.11879999999996</v>
      </c>
      <c r="AH4">
        <f>AD4</f>
        <v>113.88889107692307</v>
      </c>
      <c r="AI4" s="17">
        <f>AG4/AH4</f>
        <v>2.802018677874913</v>
      </c>
    </row>
    <row r="5" spans="1:35" x14ac:dyDescent="0.45">
      <c r="A5" s="31">
        <v>10</v>
      </c>
      <c r="B5" s="31">
        <v>78</v>
      </c>
      <c r="C5" s="31">
        <v>79</v>
      </c>
      <c r="D5" s="31">
        <v>0</v>
      </c>
      <c r="E5" s="32">
        <v>0.67679999999999996</v>
      </c>
      <c r="F5" s="32">
        <v>1.242</v>
      </c>
      <c r="G5" s="33">
        <f t="shared" si="0"/>
        <v>1.0842335999999999</v>
      </c>
      <c r="H5" s="33">
        <f t="shared" si="0"/>
        <v>1.989684</v>
      </c>
      <c r="I5" s="33">
        <v>194.715</v>
      </c>
      <c r="J5" s="34">
        <v>7.9097999999999997</v>
      </c>
      <c r="K5" s="32">
        <v>7.9097999999999997</v>
      </c>
      <c r="L5" s="32">
        <v>0.60850000000000004</v>
      </c>
      <c r="O5" s="3">
        <f t="shared" ref="O5:O10" si="1">G3</f>
        <v>0.29252520000000004</v>
      </c>
      <c r="P5" s="3">
        <f t="shared" ref="P5:P10" si="2">I3</f>
        <v>111.50749999999999</v>
      </c>
      <c r="R5" s="3">
        <f>R4</f>
        <v>1.7622000000000002E-3</v>
      </c>
      <c r="S5" s="3">
        <f>P4</f>
        <v>79.907499999999999</v>
      </c>
      <c r="U5" s="3">
        <f>R19</f>
        <v>3.0844908000000002</v>
      </c>
      <c r="V5">
        <f>V4</f>
        <v>320</v>
      </c>
    </row>
    <row r="6" spans="1:35" x14ac:dyDescent="0.45">
      <c r="A6" s="31">
        <v>10</v>
      </c>
      <c r="B6" s="31">
        <v>79</v>
      </c>
      <c r="C6" s="31">
        <v>80</v>
      </c>
      <c r="D6" s="31">
        <v>0</v>
      </c>
      <c r="E6" s="32">
        <v>1.242</v>
      </c>
      <c r="F6" s="32">
        <v>1.5078</v>
      </c>
      <c r="G6" s="33">
        <f t="shared" si="0"/>
        <v>1.989684</v>
      </c>
      <c r="H6" s="33">
        <f t="shared" si="0"/>
        <v>2.4154956000000003</v>
      </c>
      <c r="I6" s="33">
        <v>189.41749999999999</v>
      </c>
      <c r="J6" s="34">
        <v>0.71150000000000002</v>
      </c>
      <c r="K6" s="32">
        <v>0.71150000000000002</v>
      </c>
      <c r="L6" s="32">
        <v>0.59189999999999998</v>
      </c>
      <c r="O6" s="3">
        <f t="shared" si="1"/>
        <v>0.67796640000000008</v>
      </c>
      <c r="P6" s="3">
        <f t="shared" si="2"/>
        <v>190.88499999999999</v>
      </c>
      <c r="R6" s="3">
        <f>O5</f>
        <v>0.29252520000000004</v>
      </c>
      <c r="S6" s="3">
        <f>S5</f>
        <v>79.907499999999999</v>
      </c>
      <c r="U6" s="3">
        <f>U5</f>
        <v>3.0844908000000002</v>
      </c>
      <c r="V6">
        <v>0</v>
      </c>
    </row>
    <row r="7" spans="1:35" x14ac:dyDescent="0.45">
      <c r="A7" s="31">
        <v>10</v>
      </c>
      <c r="B7" s="31">
        <v>80</v>
      </c>
      <c r="C7" s="31">
        <v>81</v>
      </c>
      <c r="D7" s="31">
        <v>0</v>
      </c>
      <c r="E7" s="32">
        <v>1.5078</v>
      </c>
      <c r="F7" s="32">
        <v>1.7568999999999999</v>
      </c>
      <c r="G7" s="33">
        <f t="shared" si="0"/>
        <v>2.4154956000000003</v>
      </c>
      <c r="H7" s="33">
        <f t="shared" si="0"/>
        <v>2.8145538000000001</v>
      </c>
      <c r="I7" s="33">
        <v>233.64750000000001</v>
      </c>
      <c r="J7" s="34">
        <v>1.06</v>
      </c>
      <c r="K7" s="32">
        <v>1.06</v>
      </c>
      <c r="L7" s="32">
        <v>0.73009999999999997</v>
      </c>
      <c r="O7" s="3">
        <f t="shared" si="1"/>
        <v>1.0842335999999999</v>
      </c>
      <c r="P7" s="3">
        <f t="shared" si="2"/>
        <v>194.715</v>
      </c>
      <c r="R7" s="3">
        <f>R6</f>
        <v>0.29252520000000004</v>
      </c>
      <c r="S7" s="3">
        <f>P5</f>
        <v>111.50749999999999</v>
      </c>
    </row>
    <row r="8" spans="1:35" x14ac:dyDescent="0.45">
      <c r="A8" s="31">
        <v>10</v>
      </c>
      <c r="B8" s="31">
        <v>81</v>
      </c>
      <c r="C8" s="31">
        <v>82</v>
      </c>
      <c r="D8" s="31">
        <v>0</v>
      </c>
      <c r="E8" s="32">
        <v>1.7568999999999999</v>
      </c>
      <c r="F8" s="32">
        <v>1.9254</v>
      </c>
      <c r="G8" s="33">
        <f t="shared" si="0"/>
        <v>2.8145538000000001</v>
      </c>
      <c r="H8" s="33">
        <f t="shared" si="0"/>
        <v>3.0844908000000002</v>
      </c>
      <c r="I8" s="33">
        <v>206.155</v>
      </c>
      <c r="J8" s="34">
        <v>1.5172000000000001</v>
      </c>
      <c r="K8" s="32">
        <v>1.5172000000000001</v>
      </c>
      <c r="L8" s="32">
        <v>0.64419999999999999</v>
      </c>
      <c r="O8" s="3">
        <f t="shared" si="1"/>
        <v>1.989684</v>
      </c>
      <c r="P8" s="3">
        <f t="shared" si="2"/>
        <v>189.41749999999999</v>
      </c>
      <c r="R8" s="3">
        <f>O6</f>
        <v>0.67796640000000008</v>
      </c>
      <c r="S8" s="3">
        <f>S7</f>
        <v>111.50749999999999</v>
      </c>
      <c r="Y8" t="s">
        <v>60</v>
      </c>
      <c r="Z8" t="s">
        <v>61</v>
      </c>
      <c r="AA8" t="s">
        <v>62</v>
      </c>
      <c r="AB8" t="s">
        <v>63</v>
      </c>
      <c r="AC8" t="s">
        <v>64</v>
      </c>
    </row>
    <row r="9" spans="1:35" x14ac:dyDescent="0.45">
      <c r="O9" s="3">
        <f t="shared" si="1"/>
        <v>2.4154956000000003</v>
      </c>
      <c r="P9" s="3">
        <f t="shared" si="2"/>
        <v>233.64750000000001</v>
      </c>
      <c r="R9" s="3">
        <f>R8</f>
        <v>0.67796640000000008</v>
      </c>
      <c r="S9" s="3">
        <f>P6</f>
        <v>190.88499999999999</v>
      </c>
      <c r="Y9" s="3">
        <v>350.68</v>
      </c>
      <c r="Z9">
        <v>1.3</v>
      </c>
      <c r="AA9">
        <f>Y9*Z9</f>
        <v>455.88400000000001</v>
      </c>
      <c r="AB9" s="16">
        <v>0.3</v>
      </c>
      <c r="AC9">
        <f>AA9*(1-AB9)</f>
        <v>319.11879999999996</v>
      </c>
    </row>
    <row r="10" spans="1:35" x14ac:dyDescent="0.45">
      <c r="O10" s="3">
        <f t="shared" si="1"/>
        <v>2.8145538000000001</v>
      </c>
      <c r="P10" s="3">
        <f t="shared" si="2"/>
        <v>206.155</v>
      </c>
      <c r="R10" s="3">
        <f>O7</f>
        <v>1.0842335999999999</v>
      </c>
      <c r="S10" s="3">
        <f>S9</f>
        <v>190.88499999999999</v>
      </c>
    </row>
    <row r="11" spans="1:35" x14ac:dyDescent="0.45">
      <c r="O11" s="3">
        <f>H8</f>
        <v>3.0844908000000002</v>
      </c>
      <c r="R11" s="3">
        <f>R10</f>
        <v>1.0842335999999999</v>
      </c>
      <c r="S11" s="3">
        <f>P7</f>
        <v>194.715</v>
      </c>
    </row>
    <row r="12" spans="1:35" x14ac:dyDescent="0.45">
      <c r="R12" s="3">
        <f>O8</f>
        <v>1.989684</v>
      </c>
      <c r="S12" s="3">
        <f>S11</f>
        <v>194.715</v>
      </c>
    </row>
    <row r="13" spans="1:35" x14ac:dyDescent="0.45">
      <c r="R13" s="3">
        <f>R12</f>
        <v>1.989684</v>
      </c>
      <c r="S13" s="3">
        <f>P8</f>
        <v>189.41749999999999</v>
      </c>
    </row>
    <row r="14" spans="1:35" x14ac:dyDescent="0.45">
      <c r="R14" s="3">
        <f>O9</f>
        <v>2.4154956000000003</v>
      </c>
      <c r="S14" s="3">
        <f>S13</f>
        <v>189.41749999999999</v>
      </c>
    </row>
    <row r="15" spans="1:35" x14ac:dyDescent="0.45">
      <c r="R15" s="3">
        <f>R14</f>
        <v>2.4154956000000003</v>
      </c>
      <c r="S15" s="3">
        <f>P9</f>
        <v>233.64750000000001</v>
      </c>
    </row>
    <row r="16" spans="1:35" x14ac:dyDescent="0.45">
      <c r="R16" s="3">
        <f>O10</f>
        <v>2.8145538000000001</v>
      </c>
      <c r="S16" s="3">
        <f>S15</f>
        <v>233.64750000000001</v>
      </c>
      <c r="V16" t="s">
        <v>71</v>
      </c>
      <c r="AA16" t="s">
        <v>71</v>
      </c>
      <c r="AB16" t="s">
        <v>78</v>
      </c>
    </row>
    <row r="17" spans="18:28" x14ac:dyDescent="0.45">
      <c r="R17" s="3">
        <f>R16</f>
        <v>2.8145538000000001</v>
      </c>
      <c r="S17" s="3">
        <f>P10</f>
        <v>206.155</v>
      </c>
      <c r="U17" t="s">
        <v>80</v>
      </c>
      <c r="V17" s="3">
        <f>SUM(J2:J8)</f>
        <v>12.8004</v>
      </c>
      <c r="Z17" t="s">
        <v>76</v>
      </c>
      <c r="AA17" s="3">
        <f>V17+V20+V23</f>
        <v>36.800399999999996</v>
      </c>
      <c r="AB17">
        <f>AA17/60</f>
        <v>0.61333999999999989</v>
      </c>
    </row>
    <row r="18" spans="18:28" x14ac:dyDescent="0.45">
      <c r="R18" s="3">
        <f>O11</f>
        <v>3.0844908000000002</v>
      </c>
      <c r="S18" s="3">
        <f>S17</f>
        <v>206.155</v>
      </c>
      <c r="V18" s="3"/>
    </row>
    <row r="19" spans="18:28" x14ac:dyDescent="0.45">
      <c r="R19" s="3">
        <f>R18</f>
        <v>3.0844908000000002</v>
      </c>
      <c r="S19">
        <f>0</f>
        <v>0</v>
      </c>
    </row>
    <row r="20" spans="18:28" x14ac:dyDescent="0.45">
      <c r="U20" t="s">
        <v>72</v>
      </c>
      <c r="V20">
        <f>6*1.5</f>
        <v>9</v>
      </c>
    </row>
    <row r="21" spans="18:28" x14ac:dyDescent="0.45">
      <c r="Z21" t="s">
        <v>77</v>
      </c>
      <c r="AA21">
        <v>4</v>
      </c>
    </row>
    <row r="23" spans="18:28" x14ac:dyDescent="0.45">
      <c r="U23" t="s">
        <v>75</v>
      </c>
      <c r="V23">
        <f>10+5</f>
        <v>15</v>
      </c>
    </row>
    <row r="25" spans="18:28" x14ac:dyDescent="0.45">
      <c r="Z25" t="s">
        <v>79</v>
      </c>
      <c r="AA25">
        <f>INT(AB17+AA21)+1</f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0AD7-4DDA-4970-B9D8-4B8C03E32302}">
  <dimension ref="A1:AI36"/>
  <sheetViews>
    <sheetView topLeftCell="J1" zoomScale="57" workbookViewId="0">
      <selection sqref="A1:XFD1"/>
    </sheetView>
  </sheetViews>
  <sheetFormatPr defaultRowHeight="14.25" x14ac:dyDescent="0.45"/>
  <sheetData>
    <row r="1" spans="1:35" x14ac:dyDescent="0.45">
      <c r="A1" s="1" t="s">
        <v>27</v>
      </c>
      <c r="B1" s="1" t="s">
        <v>26</v>
      </c>
      <c r="C1" s="1" t="s">
        <v>25</v>
      </c>
      <c r="D1" s="1" t="s">
        <v>24</v>
      </c>
      <c r="E1" s="3" t="s">
        <v>23</v>
      </c>
      <c r="F1" s="3" t="s">
        <v>22</v>
      </c>
      <c r="G1" s="8" t="s">
        <v>50</v>
      </c>
      <c r="H1" s="8" t="s">
        <v>51</v>
      </c>
      <c r="I1" s="8" t="s">
        <v>21</v>
      </c>
      <c r="J1" s="18" t="s">
        <v>20</v>
      </c>
      <c r="K1" s="3" t="s">
        <v>19</v>
      </c>
      <c r="L1" s="3" t="s">
        <v>18</v>
      </c>
    </row>
    <row r="2" spans="1:35" x14ac:dyDescent="0.45">
      <c r="A2" s="35">
        <v>11</v>
      </c>
      <c r="B2" s="35">
        <v>69</v>
      </c>
      <c r="C2" s="35">
        <v>71</v>
      </c>
      <c r="D2" s="35">
        <v>0</v>
      </c>
      <c r="E2" s="36">
        <v>0</v>
      </c>
      <c r="F2" s="36">
        <v>3.7000000000000002E-3</v>
      </c>
      <c r="G2" s="37">
        <f t="shared" ref="G2:H17" si="0">E2*1.602</f>
        <v>0</v>
      </c>
      <c r="H2" s="37">
        <f t="shared" si="0"/>
        <v>5.9274000000000002E-3</v>
      </c>
      <c r="I2" s="37">
        <v>86.265000000000001</v>
      </c>
      <c r="J2" s="38">
        <v>1.0800000000000001E-2</v>
      </c>
      <c r="K2" s="36">
        <v>1.0800000000000001E-2</v>
      </c>
      <c r="L2" s="36">
        <v>0.26960000000000001</v>
      </c>
      <c r="R2" t="s">
        <v>52</v>
      </c>
      <c r="S2" t="s">
        <v>53</v>
      </c>
    </row>
    <row r="3" spans="1:35" x14ac:dyDescent="0.45">
      <c r="A3" s="35">
        <v>11</v>
      </c>
      <c r="B3" s="35">
        <v>71</v>
      </c>
      <c r="C3" s="35">
        <v>87</v>
      </c>
      <c r="D3" s="35">
        <v>0</v>
      </c>
      <c r="E3" s="36">
        <v>3.7000000000000002E-3</v>
      </c>
      <c r="F3" s="36">
        <v>0.74480000000000002</v>
      </c>
      <c r="G3" s="37">
        <f t="shared" si="0"/>
        <v>5.9274000000000002E-3</v>
      </c>
      <c r="H3" s="37">
        <f t="shared" si="0"/>
        <v>1.1931696000000001</v>
      </c>
      <c r="I3" s="37">
        <v>86.265000000000001</v>
      </c>
      <c r="J3" s="38">
        <v>12.250500000000001</v>
      </c>
      <c r="K3" s="36">
        <v>12.250500000000001</v>
      </c>
      <c r="L3" s="36">
        <v>0.26960000000000001</v>
      </c>
      <c r="O3" s="3">
        <f>G2</f>
        <v>0</v>
      </c>
      <c r="P3" s="3">
        <f>I2</f>
        <v>86.265000000000001</v>
      </c>
      <c r="R3" s="3">
        <f>O3</f>
        <v>0</v>
      </c>
      <c r="S3">
        <f>0</f>
        <v>0</v>
      </c>
      <c r="U3">
        <v>0</v>
      </c>
      <c r="V3">
        <f>0</f>
        <v>0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G3" t="s">
        <v>62</v>
      </c>
      <c r="AH3" t="s">
        <v>67</v>
      </c>
      <c r="AI3" t="s">
        <v>68</v>
      </c>
    </row>
    <row r="4" spans="1:35" x14ac:dyDescent="0.45">
      <c r="A4" s="35">
        <v>11</v>
      </c>
      <c r="B4" s="35">
        <v>87</v>
      </c>
      <c r="C4" s="35">
        <v>88</v>
      </c>
      <c r="D4" s="35">
        <v>0</v>
      </c>
      <c r="E4" s="36">
        <v>0.74480000000000002</v>
      </c>
      <c r="F4" s="36">
        <v>0.91449999999999998</v>
      </c>
      <c r="G4" s="37">
        <f t="shared" si="0"/>
        <v>1.1931696000000001</v>
      </c>
      <c r="H4" s="37">
        <f t="shared" si="0"/>
        <v>1.4650290000000001</v>
      </c>
      <c r="I4" s="37">
        <v>49.232500000000002</v>
      </c>
      <c r="J4" s="38">
        <v>0.45429999999999998</v>
      </c>
      <c r="K4" s="36">
        <v>0.45429999999999998</v>
      </c>
      <c r="L4" s="36">
        <v>0.15390000000000001</v>
      </c>
      <c r="O4" s="3">
        <f t="shared" ref="O4:O18" si="1">G3</f>
        <v>5.9274000000000002E-3</v>
      </c>
      <c r="P4" s="3">
        <f t="shared" ref="P4:P18" si="2">I3</f>
        <v>86.265000000000001</v>
      </c>
      <c r="R4" s="3">
        <f>R3</f>
        <v>0</v>
      </c>
      <c r="S4" s="3">
        <f>P3</f>
        <v>86.265000000000001</v>
      </c>
      <c r="U4">
        <v>0</v>
      </c>
      <c r="V4">
        <v>320</v>
      </c>
      <c r="Y4" s="3">
        <f>U5</f>
        <v>5.4315810000000004</v>
      </c>
      <c r="Z4">
        <v>4</v>
      </c>
      <c r="AA4">
        <f>Y4*Z4</f>
        <v>21.726324000000002</v>
      </c>
      <c r="AB4">
        <v>6</v>
      </c>
      <c r="AC4">
        <f>AA4*AB4</f>
        <v>130.357944</v>
      </c>
      <c r="AD4">
        <f>AC4/0.65</f>
        <v>200.55068307692306</v>
      </c>
      <c r="AG4">
        <f>AC9</f>
        <v>662.43677500000001</v>
      </c>
      <c r="AH4">
        <f>AD4</f>
        <v>200.55068307692306</v>
      </c>
      <c r="AI4" s="17">
        <f>AG4/AH4</f>
        <v>3.3030890986589974</v>
      </c>
    </row>
    <row r="5" spans="1:35" x14ac:dyDescent="0.45">
      <c r="A5" s="35">
        <v>11</v>
      </c>
      <c r="B5" s="35">
        <v>88</v>
      </c>
      <c r="C5" s="35">
        <v>89</v>
      </c>
      <c r="D5" s="35">
        <v>0</v>
      </c>
      <c r="E5" s="36">
        <v>0.91449999999999998</v>
      </c>
      <c r="F5" s="36">
        <v>1.1618999999999999</v>
      </c>
      <c r="G5" s="37">
        <f t="shared" si="0"/>
        <v>1.4650290000000001</v>
      </c>
      <c r="H5" s="37">
        <f t="shared" si="0"/>
        <v>1.8613637999999999</v>
      </c>
      <c r="I5" s="37">
        <v>104.185</v>
      </c>
      <c r="J5" s="38">
        <v>0.63460000000000005</v>
      </c>
      <c r="K5" s="36">
        <v>0.63460000000000005</v>
      </c>
      <c r="L5" s="36">
        <v>0.3256</v>
      </c>
      <c r="O5" s="3">
        <f t="shared" si="1"/>
        <v>1.1931696000000001</v>
      </c>
      <c r="P5" s="3">
        <f t="shared" si="2"/>
        <v>49.232500000000002</v>
      </c>
      <c r="R5" s="3">
        <f>O4</f>
        <v>5.9274000000000002E-3</v>
      </c>
      <c r="S5" s="3">
        <f>S4</f>
        <v>86.265000000000001</v>
      </c>
      <c r="U5" s="3">
        <f>R36</f>
        <v>5.4315810000000004</v>
      </c>
      <c r="V5">
        <f>V4</f>
        <v>320</v>
      </c>
      <c r="Y5" s="3">
        <f>Y4</f>
        <v>5.4315810000000004</v>
      </c>
      <c r="Z5">
        <v>3</v>
      </c>
      <c r="AA5">
        <f>Y5*Z5</f>
        <v>16.294743</v>
      </c>
      <c r="AB5">
        <v>7</v>
      </c>
      <c r="AC5">
        <f>AA5*AB5</f>
        <v>114.06320100000001</v>
      </c>
      <c r="AD5">
        <f>AC5/0.65</f>
        <v>175.4818476923077</v>
      </c>
    </row>
    <row r="6" spans="1:35" x14ac:dyDescent="0.45">
      <c r="A6" s="35">
        <v>11</v>
      </c>
      <c r="B6" s="35">
        <v>89</v>
      </c>
      <c r="C6" s="35">
        <v>90</v>
      </c>
      <c r="D6" s="35">
        <v>0</v>
      </c>
      <c r="E6" s="36">
        <v>1.1618999999999999</v>
      </c>
      <c r="F6" s="36">
        <v>1.4275</v>
      </c>
      <c r="G6" s="37">
        <f t="shared" si="0"/>
        <v>1.8613637999999999</v>
      </c>
      <c r="H6" s="37">
        <f t="shared" si="0"/>
        <v>2.2868550000000001</v>
      </c>
      <c r="I6" s="37">
        <v>390.15499999999997</v>
      </c>
      <c r="J6" s="38">
        <v>0.73029999999999995</v>
      </c>
      <c r="K6" s="36">
        <v>0.73029999999999995</v>
      </c>
      <c r="L6" s="36">
        <v>1.2192000000000001</v>
      </c>
      <c r="O6" s="3">
        <f t="shared" si="1"/>
        <v>1.4650290000000001</v>
      </c>
      <c r="P6" s="3">
        <f t="shared" si="2"/>
        <v>104.185</v>
      </c>
      <c r="R6" s="3">
        <f>R5</f>
        <v>5.9274000000000002E-3</v>
      </c>
      <c r="S6" s="3">
        <f>P4</f>
        <v>86.265000000000001</v>
      </c>
      <c r="U6" s="3">
        <f>U5</f>
        <v>5.4315810000000004</v>
      </c>
      <c r="V6">
        <f>0</f>
        <v>0</v>
      </c>
    </row>
    <row r="7" spans="1:35" x14ac:dyDescent="0.45">
      <c r="A7" s="35">
        <v>11</v>
      </c>
      <c r="B7" s="35">
        <v>90</v>
      </c>
      <c r="C7" s="35">
        <v>91</v>
      </c>
      <c r="D7" s="35">
        <v>0</v>
      </c>
      <c r="E7" s="36">
        <v>1.4275</v>
      </c>
      <c r="F7" s="36">
        <v>1.9954000000000001</v>
      </c>
      <c r="G7" s="37">
        <f t="shared" si="0"/>
        <v>2.2868550000000001</v>
      </c>
      <c r="H7" s="37">
        <f t="shared" si="0"/>
        <v>3.1966308000000003</v>
      </c>
      <c r="I7" s="37">
        <v>444.9425</v>
      </c>
      <c r="J7" s="38">
        <v>1.5054000000000001</v>
      </c>
      <c r="K7" s="36">
        <v>1.5054000000000001</v>
      </c>
      <c r="L7" s="36">
        <v>1.3904000000000001</v>
      </c>
      <c r="O7" s="3">
        <f t="shared" si="1"/>
        <v>1.8613637999999999</v>
      </c>
      <c r="P7" s="3">
        <f t="shared" si="2"/>
        <v>390.15499999999997</v>
      </c>
      <c r="R7" s="3">
        <f>O5</f>
        <v>1.1931696000000001</v>
      </c>
      <c r="S7" s="3">
        <f>S6</f>
        <v>86.265000000000001</v>
      </c>
    </row>
    <row r="8" spans="1:35" x14ac:dyDescent="0.45">
      <c r="A8" s="35">
        <v>11</v>
      </c>
      <c r="B8" s="35">
        <v>91</v>
      </c>
      <c r="C8" s="35">
        <v>92</v>
      </c>
      <c r="D8" s="35">
        <v>0</v>
      </c>
      <c r="E8" s="36">
        <v>1.9954000000000001</v>
      </c>
      <c r="F8" s="36">
        <v>2.2521</v>
      </c>
      <c r="G8" s="37">
        <f t="shared" si="0"/>
        <v>3.1966308000000003</v>
      </c>
      <c r="H8" s="37">
        <f t="shared" si="0"/>
        <v>3.6078642000000003</v>
      </c>
      <c r="I8" s="37">
        <v>488.44499999999999</v>
      </c>
      <c r="J8" s="38">
        <v>1.8815</v>
      </c>
      <c r="K8" s="36">
        <v>1.8815</v>
      </c>
      <c r="L8" s="36">
        <v>1.5264</v>
      </c>
      <c r="O8" s="3">
        <f t="shared" si="1"/>
        <v>2.2868550000000001</v>
      </c>
      <c r="P8" s="3">
        <f t="shared" si="2"/>
        <v>444.9425</v>
      </c>
      <c r="R8" s="3">
        <f>R7</f>
        <v>1.1931696000000001</v>
      </c>
      <c r="S8" s="3">
        <f>P5</f>
        <v>49.232500000000002</v>
      </c>
      <c r="Y8" t="s">
        <v>60</v>
      </c>
      <c r="Z8" t="s">
        <v>61</v>
      </c>
      <c r="AA8" t="s">
        <v>62</v>
      </c>
      <c r="AB8" t="s">
        <v>63</v>
      </c>
      <c r="AC8" t="s">
        <v>64</v>
      </c>
    </row>
    <row r="9" spans="1:35" x14ac:dyDescent="0.45">
      <c r="A9" s="35">
        <v>11</v>
      </c>
      <c r="B9" s="35">
        <v>92</v>
      </c>
      <c r="C9" s="35">
        <v>93</v>
      </c>
      <c r="D9" s="35">
        <v>0</v>
      </c>
      <c r="E9" s="36">
        <v>2.2521</v>
      </c>
      <c r="F9" s="36">
        <v>2.4251</v>
      </c>
      <c r="G9" s="37">
        <f t="shared" si="0"/>
        <v>3.6078642000000003</v>
      </c>
      <c r="H9" s="37">
        <f t="shared" si="0"/>
        <v>3.8850102000000004</v>
      </c>
      <c r="I9" s="37">
        <v>491.50749999999999</v>
      </c>
      <c r="J9" s="38">
        <v>0.48370000000000002</v>
      </c>
      <c r="K9" s="36">
        <v>0.48370000000000002</v>
      </c>
      <c r="L9" s="36">
        <v>1.536</v>
      </c>
      <c r="O9" s="3">
        <f t="shared" si="1"/>
        <v>3.1966308000000003</v>
      </c>
      <c r="P9" s="3">
        <f t="shared" si="2"/>
        <v>488.44499999999999</v>
      </c>
      <c r="R9" s="3">
        <f>O6</f>
        <v>1.4650290000000001</v>
      </c>
      <c r="S9" s="3">
        <f>S8</f>
        <v>49.232500000000002</v>
      </c>
      <c r="Y9" s="3">
        <v>727.95249999999999</v>
      </c>
      <c r="Z9">
        <v>1.3</v>
      </c>
      <c r="AA9">
        <f>Y9*Z9</f>
        <v>946.33825000000002</v>
      </c>
      <c r="AB9" s="16">
        <v>0.3</v>
      </c>
      <c r="AC9">
        <f>AA9*(1-AB9)</f>
        <v>662.43677500000001</v>
      </c>
    </row>
    <row r="10" spans="1:35" x14ac:dyDescent="0.45">
      <c r="A10" s="35">
        <v>11</v>
      </c>
      <c r="B10" s="35">
        <v>93</v>
      </c>
      <c r="C10" s="35">
        <v>94</v>
      </c>
      <c r="D10" s="35">
        <v>0</v>
      </c>
      <c r="E10" s="36">
        <v>2.4251</v>
      </c>
      <c r="F10" s="36">
        <v>2.5583999999999998</v>
      </c>
      <c r="G10" s="37">
        <f t="shared" si="0"/>
        <v>3.8850102000000004</v>
      </c>
      <c r="H10" s="37">
        <f t="shared" si="0"/>
        <v>4.0985567999999999</v>
      </c>
      <c r="I10" s="37">
        <v>441.29</v>
      </c>
      <c r="J10" s="38">
        <v>0.31319999999999998</v>
      </c>
      <c r="K10" s="36">
        <v>0.31319999999999998</v>
      </c>
      <c r="L10" s="36">
        <v>1.379</v>
      </c>
      <c r="O10" s="3">
        <f t="shared" si="1"/>
        <v>3.6078642000000003</v>
      </c>
      <c r="P10" s="3">
        <f t="shared" si="2"/>
        <v>491.50749999999999</v>
      </c>
      <c r="R10" s="3">
        <f>R9</f>
        <v>1.4650290000000001</v>
      </c>
      <c r="S10" s="3">
        <f>P6</f>
        <v>104.185</v>
      </c>
    </row>
    <row r="11" spans="1:35" x14ac:dyDescent="0.45">
      <c r="A11" s="35">
        <v>11</v>
      </c>
      <c r="B11" s="35">
        <v>94</v>
      </c>
      <c r="C11" s="35">
        <v>74</v>
      </c>
      <c r="D11" s="35">
        <v>0</v>
      </c>
      <c r="E11" s="36">
        <v>2.5583999999999998</v>
      </c>
      <c r="F11" s="36">
        <v>2.6360999999999999</v>
      </c>
      <c r="G11" s="37">
        <f t="shared" si="0"/>
        <v>4.0985567999999999</v>
      </c>
      <c r="H11" s="37">
        <f t="shared" si="0"/>
        <v>4.2230322000000005</v>
      </c>
      <c r="I11" s="37">
        <v>464.51</v>
      </c>
      <c r="J11" s="38">
        <v>0.25929999999999997</v>
      </c>
      <c r="K11" s="36">
        <v>0.25929999999999997</v>
      </c>
      <c r="L11" s="36">
        <v>1.4516</v>
      </c>
      <c r="O11" s="3">
        <f t="shared" si="1"/>
        <v>3.8850102000000004</v>
      </c>
      <c r="P11" s="3">
        <f t="shared" si="2"/>
        <v>441.29</v>
      </c>
      <c r="R11" s="3">
        <f>O7</f>
        <v>1.8613637999999999</v>
      </c>
      <c r="S11" s="3">
        <f>S10</f>
        <v>104.185</v>
      </c>
    </row>
    <row r="12" spans="1:35" x14ac:dyDescent="0.45">
      <c r="A12" s="35">
        <v>11</v>
      </c>
      <c r="B12" s="35">
        <v>74</v>
      </c>
      <c r="C12" s="35">
        <v>95</v>
      </c>
      <c r="D12" s="35">
        <v>0</v>
      </c>
      <c r="E12" s="36">
        <v>2.6360999999999999</v>
      </c>
      <c r="F12" s="36">
        <v>2.7902</v>
      </c>
      <c r="G12" s="37">
        <f t="shared" si="0"/>
        <v>4.2230322000000005</v>
      </c>
      <c r="H12" s="37">
        <f t="shared" si="0"/>
        <v>4.4699004000000002</v>
      </c>
      <c r="I12" s="37">
        <v>459.6275</v>
      </c>
      <c r="J12" s="38">
        <v>1.2388999999999999</v>
      </c>
      <c r="K12" s="36">
        <v>1.2388999999999999</v>
      </c>
      <c r="L12" s="36">
        <v>1.4362999999999999</v>
      </c>
      <c r="O12" s="3">
        <f t="shared" si="1"/>
        <v>4.0985567999999999</v>
      </c>
      <c r="P12" s="3">
        <f t="shared" si="2"/>
        <v>464.51</v>
      </c>
      <c r="R12" s="3">
        <f>R11</f>
        <v>1.8613637999999999</v>
      </c>
      <c r="S12" s="3">
        <f>P7</f>
        <v>390.15499999999997</v>
      </c>
      <c r="W12" t="s">
        <v>66</v>
      </c>
    </row>
    <row r="13" spans="1:35" x14ac:dyDescent="0.45">
      <c r="A13" s="35">
        <v>11</v>
      </c>
      <c r="B13" s="35">
        <v>95</v>
      </c>
      <c r="C13" s="35">
        <v>96</v>
      </c>
      <c r="D13" s="35">
        <v>0</v>
      </c>
      <c r="E13" s="36">
        <v>2.7902</v>
      </c>
      <c r="F13" s="36">
        <v>2.8946000000000001</v>
      </c>
      <c r="G13" s="37">
        <f t="shared" si="0"/>
        <v>4.4699004000000002</v>
      </c>
      <c r="H13" s="37">
        <f t="shared" si="0"/>
        <v>4.6371492000000005</v>
      </c>
      <c r="I13" s="37">
        <v>424.46</v>
      </c>
      <c r="J13" s="38">
        <v>0.2432</v>
      </c>
      <c r="K13" s="36">
        <v>0.2432</v>
      </c>
      <c r="L13" s="36">
        <v>1.3264</v>
      </c>
      <c r="O13" s="3">
        <f t="shared" si="1"/>
        <v>4.2230322000000005</v>
      </c>
      <c r="P13" s="3">
        <f t="shared" si="2"/>
        <v>459.6275</v>
      </c>
      <c r="R13" s="3">
        <f>O8</f>
        <v>2.2868550000000001</v>
      </c>
      <c r="S13" s="3">
        <f>S12</f>
        <v>390.15499999999997</v>
      </c>
      <c r="U13" t="s">
        <v>65</v>
      </c>
      <c r="V13" s="3">
        <f>MAX(S5:S40)</f>
        <v>491.50749999999999</v>
      </c>
      <c r="W13" s="3">
        <f>V13-V5</f>
        <v>171.50749999999999</v>
      </c>
    </row>
    <row r="14" spans="1:35" x14ac:dyDescent="0.45">
      <c r="A14" s="35">
        <v>11</v>
      </c>
      <c r="B14" s="35">
        <v>96</v>
      </c>
      <c r="C14" s="35">
        <v>97</v>
      </c>
      <c r="D14" s="35">
        <v>0</v>
      </c>
      <c r="E14" s="36">
        <v>2.8946000000000001</v>
      </c>
      <c r="F14" s="36">
        <v>2.9634999999999998</v>
      </c>
      <c r="G14" s="37">
        <f t="shared" si="0"/>
        <v>4.6371492000000005</v>
      </c>
      <c r="H14" s="37">
        <f t="shared" si="0"/>
        <v>4.7475269999999998</v>
      </c>
      <c r="I14" s="37">
        <v>420.32749999999999</v>
      </c>
      <c r="J14" s="38">
        <v>0.32300000000000001</v>
      </c>
      <c r="K14" s="36">
        <v>0.32300000000000001</v>
      </c>
      <c r="L14" s="36">
        <v>1.3134999999999999</v>
      </c>
      <c r="O14" s="3">
        <f t="shared" si="1"/>
        <v>4.4699004000000002</v>
      </c>
      <c r="P14" s="3">
        <f t="shared" si="2"/>
        <v>424.46</v>
      </c>
      <c r="R14" s="3">
        <f>R13</f>
        <v>2.2868550000000001</v>
      </c>
      <c r="S14" s="3">
        <f>P8</f>
        <v>444.9425</v>
      </c>
    </row>
    <row r="15" spans="1:35" x14ac:dyDescent="0.45">
      <c r="A15" s="35">
        <v>11</v>
      </c>
      <c r="B15" s="35">
        <v>97</v>
      </c>
      <c r="C15" s="35">
        <v>98</v>
      </c>
      <c r="D15" s="35">
        <v>0</v>
      </c>
      <c r="E15" s="36">
        <v>2.9634999999999998</v>
      </c>
      <c r="F15" s="36">
        <v>3.0419</v>
      </c>
      <c r="G15" s="37">
        <f t="shared" si="0"/>
        <v>4.7475269999999998</v>
      </c>
      <c r="H15" s="37">
        <f t="shared" si="0"/>
        <v>4.8731238000000001</v>
      </c>
      <c r="I15" s="37">
        <v>410.34500000000003</v>
      </c>
      <c r="J15" s="38">
        <v>0.39379999999999998</v>
      </c>
      <c r="K15" s="36">
        <v>0.39379999999999998</v>
      </c>
      <c r="L15" s="36">
        <v>1.2823</v>
      </c>
      <c r="O15" s="3">
        <f t="shared" si="1"/>
        <v>4.6371492000000005</v>
      </c>
      <c r="P15" s="3">
        <f t="shared" si="2"/>
        <v>420.32749999999999</v>
      </c>
      <c r="R15" s="3">
        <f>O9</f>
        <v>3.1966308000000003</v>
      </c>
      <c r="S15" s="3">
        <f>S14</f>
        <v>444.9425</v>
      </c>
    </row>
    <row r="16" spans="1:35" x14ac:dyDescent="0.45">
      <c r="A16" s="35">
        <v>11</v>
      </c>
      <c r="B16" s="35">
        <v>98</v>
      </c>
      <c r="C16" s="35">
        <v>68</v>
      </c>
      <c r="D16" s="35">
        <v>0</v>
      </c>
      <c r="E16" s="36">
        <v>3.0419</v>
      </c>
      <c r="F16" s="36">
        <v>3.2761999999999998</v>
      </c>
      <c r="G16" s="37">
        <f t="shared" si="0"/>
        <v>4.8731238000000001</v>
      </c>
      <c r="H16" s="37">
        <f t="shared" si="0"/>
        <v>5.2484723999999998</v>
      </c>
      <c r="I16" s="37">
        <v>409.39749999999998</v>
      </c>
      <c r="J16" s="38">
        <v>1.0898000000000001</v>
      </c>
      <c r="K16" s="36">
        <v>1.0898000000000001</v>
      </c>
      <c r="L16" s="36">
        <v>1.2794000000000001</v>
      </c>
      <c r="O16" s="3">
        <f t="shared" si="1"/>
        <v>4.7475269999999998</v>
      </c>
      <c r="P16" s="3">
        <f t="shared" si="2"/>
        <v>410.34500000000003</v>
      </c>
      <c r="R16" s="3">
        <f>R15</f>
        <v>3.1966308000000003</v>
      </c>
      <c r="S16" s="3">
        <f>P9</f>
        <v>488.44499999999999</v>
      </c>
    </row>
    <row r="17" spans="1:28" x14ac:dyDescent="0.45">
      <c r="A17" s="35">
        <v>11</v>
      </c>
      <c r="B17" s="35">
        <v>68</v>
      </c>
      <c r="C17" s="35">
        <v>66</v>
      </c>
      <c r="D17" s="35">
        <v>0</v>
      </c>
      <c r="E17" s="36">
        <v>3.2761999999999998</v>
      </c>
      <c r="F17" s="36">
        <v>3.3904999999999998</v>
      </c>
      <c r="G17" s="37">
        <f t="shared" si="0"/>
        <v>5.2484723999999998</v>
      </c>
      <c r="H17" s="37">
        <f t="shared" si="0"/>
        <v>5.4315810000000004</v>
      </c>
      <c r="I17" s="37">
        <v>86.515000000000001</v>
      </c>
      <c r="J17" s="38">
        <v>3.4466999999999999</v>
      </c>
      <c r="K17" s="36">
        <v>3.4466999999999999</v>
      </c>
      <c r="L17" s="36">
        <v>0.27039999999999997</v>
      </c>
      <c r="O17" s="3">
        <f t="shared" si="1"/>
        <v>4.8731238000000001</v>
      </c>
      <c r="P17" s="3">
        <f t="shared" si="2"/>
        <v>409.39749999999998</v>
      </c>
      <c r="R17" s="3">
        <f>O10</f>
        <v>3.6078642000000003</v>
      </c>
      <c r="S17" s="3">
        <f>S16</f>
        <v>488.44499999999999</v>
      </c>
    </row>
    <row r="18" spans="1:28" x14ac:dyDescent="0.45">
      <c r="O18" s="3">
        <f t="shared" si="1"/>
        <v>5.2484723999999998</v>
      </c>
      <c r="P18" s="3">
        <f t="shared" si="2"/>
        <v>86.515000000000001</v>
      </c>
      <c r="R18" s="3">
        <f>R17</f>
        <v>3.6078642000000003</v>
      </c>
      <c r="S18" s="3">
        <f>P10</f>
        <v>491.50749999999999</v>
      </c>
    </row>
    <row r="19" spans="1:28" x14ac:dyDescent="0.45">
      <c r="O19" s="3">
        <f>H17</f>
        <v>5.4315810000000004</v>
      </c>
      <c r="R19" s="3">
        <f>O11</f>
        <v>3.8850102000000004</v>
      </c>
      <c r="S19" s="3">
        <f>S18</f>
        <v>491.50749999999999</v>
      </c>
    </row>
    <row r="20" spans="1:28" x14ac:dyDescent="0.45">
      <c r="R20" s="3">
        <f>R19</f>
        <v>3.8850102000000004</v>
      </c>
      <c r="S20" s="3">
        <f>P11</f>
        <v>441.29</v>
      </c>
    </row>
    <row r="21" spans="1:28" x14ac:dyDescent="0.45">
      <c r="R21" s="3">
        <f>O12</f>
        <v>4.0985567999999999</v>
      </c>
      <c r="S21" s="3">
        <f>S20</f>
        <v>441.29</v>
      </c>
    </row>
    <row r="22" spans="1:28" x14ac:dyDescent="0.45">
      <c r="R22" s="3">
        <f>R21</f>
        <v>4.0985567999999999</v>
      </c>
      <c r="S22" s="3">
        <f>P12</f>
        <v>464.51</v>
      </c>
      <c r="V22" t="s">
        <v>71</v>
      </c>
      <c r="AA22" t="s">
        <v>71</v>
      </c>
      <c r="AB22" t="s">
        <v>78</v>
      </c>
    </row>
    <row r="23" spans="1:28" x14ac:dyDescent="0.45">
      <c r="R23" s="3">
        <f>O13</f>
        <v>4.2230322000000005</v>
      </c>
      <c r="S23" s="3">
        <f>S22</f>
        <v>464.51</v>
      </c>
      <c r="U23" t="s">
        <v>80</v>
      </c>
      <c r="V23" s="3">
        <f>SUM(J2:J17)</f>
        <v>25.259</v>
      </c>
      <c r="Z23" t="s">
        <v>76</v>
      </c>
      <c r="AA23" s="3">
        <f>V23+V26+V29</f>
        <v>62.759</v>
      </c>
      <c r="AB23">
        <f>AA23/60</f>
        <v>1.0459833333333333</v>
      </c>
    </row>
    <row r="24" spans="1:28" x14ac:dyDescent="0.45">
      <c r="R24" s="3">
        <f>R23</f>
        <v>4.2230322000000005</v>
      </c>
      <c r="S24" s="3">
        <f>P13</f>
        <v>459.6275</v>
      </c>
      <c r="V24" s="3"/>
    </row>
    <row r="25" spans="1:28" x14ac:dyDescent="0.45">
      <c r="R25" s="3">
        <f>O14</f>
        <v>4.4699004000000002</v>
      </c>
      <c r="S25" s="3">
        <f>S24</f>
        <v>459.6275</v>
      </c>
    </row>
    <row r="26" spans="1:28" x14ac:dyDescent="0.45">
      <c r="R26" s="3">
        <f>R25</f>
        <v>4.4699004000000002</v>
      </c>
      <c r="S26" s="3">
        <f>P14</f>
        <v>424.46</v>
      </c>
      <c r="U26" t="s">
        <v>72</v>
      </c>
      <c r="V26">
        <f>15*1.5</f>
        <v>22.5</v>
      </c>
    </row>
    <row r="27" spans="1:28" x14ac:dyDescent="0.45">
      <c r="R27" s="3">
        <f>O15</f>
        <v>4.6371492000000005</v>
      </c>
      <c r="S27" s="3">
        <f>S26</f>
        <v>424.46</v>
      </c>
      <c r="Z27" t="s">
        <v>77</v>
      </c>
      <c r="AA27">
        <v>4</v>
      </c>
    </row>
    <row r="28" spans="1:28" x14ac:dyDescent="0.45">
      <c r="R28" s="3">
        <f>R27</f>
        <v>4.6371492000000005</v>
      </c>
      <c r="S28" s="3">
        <f>P15</f>
        <v>420.32749999999999</v>
      </c>
    </row>
    <row r="29" spans="1:28" x14ac:dyDescent="0.45">
      <c r="R29" s="3">
        <f>O16</f>
        <v>4.7475269999999998</v>
      </c>
      <c r="S29" s="3">
        <f>S28</f>
        <v>420.32749999999999</v>
      </c>
      <c r="U29" t="s">
        <v>75</v>
      </c>
      <c r="V29">
        <f>10+5</f>
        <v>15</v>
      </c>
    </row>
    <row r="30" spans="1:28" x14ac:dyDescent="0.45">
      <c r="R30" s="3">
        <f>R29</f>
        <v>4.7475269999999998</v>
      </c>
      <c r="S30" s="3">
        <f>P16</f>
        <v>410.34500000000003</v>
      </c>
    </row>
    <row r="31" spans="1:28" x14ac:dyDescent="0.45">
      <c r="R31" s="3">
        <f>O17</f>
        <v>4.8731238000000001</v>
      </c>
      <c r="S31" s="3">
        <f>S30</f>
        <v>410.34500000000003</v>
      </c>
      <c r="Z31" t="s">
        <v>79</v>
      </c>
      <c r="AA31">
        <f>INT(AB23+AA27)+1</f>
        <v>6</v>
      </c>
    </row>
    <row r="32" spans="1:28" x14ac:dyDescent="0.45">
      <c r="R32" s="3">
        <f>R31</f>
        <v>4.8731238000000001</v>
      </c>
      <c r="S32" s="3">
        <f>P17</f>
        <v>409.39749999999998</v>
      </c>
    </row>
    <row r="33" spans="18:19" x14ac:dyDescent="0.45">
      <c r="R33" s="3">
        <f>O18</f>
        <v>5.2484723999999998</v>
      </c>
      <c r="S33" s="3">
        <f>S32</f>
        <v>409.39749999999998</v>
      </c>
    </row>
    <row r="34" spans="18:19" x14ac:dyDescent="0.45">
      <c r="R34" s="3">
        <f>R33</f>
        <v>5.2484723999999998</v>
      </c>
      <c r="S34" s="3">
        <f>P18</f>
        <v>86.515000000000001</v>
      </c>
    </row>
    <row r="35" spans="18:19" x14ac:dyDescent="0.45">
      <c r="R35" s="3">
        <f>O19</f>
        <v>5.4315810000000004</v>
      </c>
      <c r="S35" s="3">
        <f>S34</f>
        <v>86.515000000000001</v>
      </c>
    </row>
    <row r="36" spans="18:19" x14ac:dyDescent="0.45">
      <c r="R36" s="3">
        <f>R35</f>
        <v>5.4315810000000004</v>
      </c>
      <c r="S36">
        <f>0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674-BB94-46AD-8643-636339070E7B}">
  <dimension ref="A1:AI46"/>
  <sheetViews>
    <sheetView tabSelected="1" topLeftCell="K1" zoomScale="78" workbookViewId="0">
      <selection activeCell="AB8" sqref="AB8"/>
    </sheetView>
  </sheetViews>
  <sheetFormatPr defaultRowHeight="14.25" x14ac:dyDescent="0.45"/>
  <sheetData>
    <row r="1" spans="1:35" x14ac:dyDescent="0.45">
      <c r="A1" s="1" t="s">
        <v>27</v>
      </c>
      <c r="B1" s="1" t="s">
        <v>26</v>
      </c>
      <c r="C1" s="1" t="s">
        <v>25</v>
      </c>
      <c r="D1" s="1" t="s">
        <v>24</v>
      </c>
      <c r="E1" s="3" t="s">
        <v>23</v>
      </c>
      <c r="F1" s="3" t="s">
        <v>22</v>
      </c>
      <c r="G1" s="8" t="s">
        <v>50</v>
      </c>
      <c r="H1" s="8" t="s">
        <v>51</v>
      </c>
      <c r="I1" s="8" t="s">
        <v>21</v>
      </c>
      <c r="J1" s="18" t="s">
        <v>20</v>
      </c>
      <c r="K1" s="3" t="s">
        <v>19</v>
      </c>
      <c r="L1" s="3" t="s">
        <v>18</v>
      </c>
    </row>
    <row r="2" spans="1:35" x14ac:dyDescent="0.45">
      <c r="A2" s="43">
        <v>12</v>
      </c>
      <c r="B2" s="43">
        <v>99</v>
      </c>
      <c r="C2" s="43">
        <v>119</v>
      </c>
      <c r="D2" s="43">
        <v>0</v>
      </c>
      <c r="E2" s="44">
        <v>1E-4</v>
      </c>
      <c r="F2" s="44">
        <v>0.15670000000000001</v>
      </c>
      <c r="G2" s="45">
        <f t="shared" ref="G2:H21" si="0">E2*1.602</f>
        <v>1.6020000000000002E-4</v>
      </c>
      <c r="H2" s="45">
        <f t="shared" si="0"/>
        <v>0.25103340000000002</v>
      </c>
      <c r="I2" s="45">
        <v>162.42750000000001</v>
      </c>
      <c r="J2" s="46">
        <v>3.44</v>
      </c>
      <c r="K2" s="44">
        <v>3.44</v>
      </c>
      <c r="L2" s="44">
        <v>0.50760000000000005</v>
      </c>
    </row>
    <row r="3" spans="1:35" x14ac:dyDescent="0.45">
      <c r="A3" s="43">
        <v>12</v>
      </c>
      <c r="B3" s="43">
        <v>119</v>
      </c>
      <c r="C3" s="43">
        <v>120</v>
      </c>
      <c r="D3" s="43">
        <v>0</v>
      </c>
      <c r="E3" s="44">
        <v>0.15670000000000001</v>
      </c>
      <c r="F3" s="44">
        <v>0.46629999999999999</v>
      </c>
      <c r="G3" s="45">
        <f t="shared" si="0"/>
        <v>0.25103340000000002</v>
      </c>
      <c r="H3" s="45">
        <f t="shared" si="0"/>
        <v>0.74701260000000003</v>
      </c>
      <c r="I3" s="45">
        <v>266.88499999999999</v>
      </c>
      <c r="J3" s="46">
        <v>2.7879999999999998</v>
      </c>
      <c r="K3" s="44">
        <v>2.7879999999999998</v>
      </c>
      <c r="L3" s="44">
        <v>0.83399999999999996</v>
      </c>
      <c r="O3" s="3">
        <f>G2</f>
        <v>1.6020000000000002E-4</v>
      </c>
      <c r="P3" s="3">
        <f t="shared" ref="P3:P13" si="1">I2</f>
        <v>162.42750000000001</v>
      </c>
      <c r="R3" s="3">
        <f>O3</f>
        <v>1.6020000000000002E-4</v>
      </c>
      <c r="S3" s="3">
        <f>R3</f>
        <v>1.6020000000000002E-4</v>
      </c>
      <c r="T3">
        <f>0</f>
        <v>0</v>
      </c>
    </row>
    <row r="4" spans="1:35" x14ac:dyDescent="0.45">
      <c r="A4" s="43">
        <v>12</v>
      </c>
      <c r="B4" s="43">
        <v>120</v>
      </c>
      <c r="C4" s="43">
        <v>121</v>
      </c>
      <c r="D4" s="43">
        <v>0</v>
      </c>
      <c r="E4" s="44">
        <v>0.46629999999999999</v>
      </c>
      <c r="F4" s="44">
        <v>0.64890000000000003</v>
      </c>
      <c r="G4" s="45">
        <f t="shared" si="0"/>
        <v>0.74701260000000003</v>
      </c>
      <c r="H4" s="45">
        <f t="shared" si="0"/>
        <v>1.0395378000000002</v>
      </c>
      <c r="I4" s="45">
        <v>354.78750000000002</v>
      </c>
      <c r="J4" s="46">
        <v>0.97270000000000001</v>
      </c>
      <c r="K4" s="44">
        <v>0.97270000000000001</v>
      </c>
      <c r="L4" s="44">
        <v>1.1087</v>
      </c>
      <c r="O4" s="3">
        <f t="shared" ref="O4:O13" si="2">G3</f>
        <v>0.25103340000000002</v>
      </c>
      <c r="P4" s="3">
        <f t="shared" si="1"/>
        <v>266.88499999999999</v>
      </c>
      <c r="R4" s="3">
        <f>R3</f>
        <v>1.6020000000000002E-4</v>
      </c>
      <c r="S4" s="3">
        <f t="shared" ref="S4:S26" si="3">R4</f>
        <v>1.6020000000000002E-4</v>
      </c>
      <c r="T4" s="3">
        <f>P3</f>
        <v>162.42750000000001</v>
      </c>
    </row>
    <row r="5" spans="1:35" x14ac:dyDescent="0.45">
      <c r="A5" s="43">
        <v>12</v>
      </c>
      <c r="B5" s="43">
        <v>121</v>
      </c>
      <c r="C5" s="43">
        <v>100</v>
      </c>
      <c r="D5" s="43">
        <v>0</v>
      </c>
      <c r="E5" s="44">
        <v>0.64890000000000003</v>
      </c>
      <c r="F5" s="44">
        <v>0.91669999999999996</v>
      </c>
      <c r="G5" s="45">
        <f t="shared" si="0"/>
        <v>1.0395378000000002</v>
      </c>
      <c r="H5" s="45">
        <f t="shared" si="0"/>
        <v>1.4685534</v>
      </c>
      <c r="I5" s="45">
        <v>369.22750000000002</v>
      </c>
      <c r="J5" s="46">
        <v>2.3464</v>
      </c>
      <c r="K5" s="44">
        <v>2.3464</v>
      </c>
      <c r="L5" s="44">
        <v>1.1537999999999999</v>
      </c>
      <c r="O5" s="3">
        <f t="shared" si="2"/>
        <v>0.74701260000000003</v>
      </c>
      <c r="P5" s="3">
        <f t="shared" si="1"/>
        <v>354.78750000000002</v>
      </c>
      <c r="R5" s="3">
        <f>O4</f>
        <v>0.25103340000000002</v>
      </c>
      <c r="S5" s="3">
        <f t="shared" si="3"/>
        <v>0.25103340000000002</v>
      </c>
      <c r="T5" s="3">
        <f>T4</f>
        <v>162.42750000000001</v>
      </c>
      <c r="V5">
        <v>0</v>
      </c>
      <c r="W5">
        <v>0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G5" t="s">
        <v>62</v>
      </c>
      <c r="AH5" t="s">
        <v>67</v>
      </c>
      <c r="AI5" t="s">
        <v>68</v>
      </c>
    </row>
    <row r="6" spans="1:35" x14ac:dyDescent="0.45">
      <c r="A6" s="43">
        <v>12</v>
      </c>
      <c r="B6" s="43">
        <v>100</v>
      </c>
      <c r="C6" s="43">
        <v>122</v>
      </c>
      <c r="D6" s="43">
        <v>0</v>
      </c>
      <c r="E6" s="44">
        <v>0.91669999999999996</v>
      </c>
      <c r="F6" s="44">
        <v>0.91779999999999995</v>
      </c>
      <c r="G6" s="45">
        <f t="shared" si="0"/>
        <v>1.4685534</v>
      </c>
      <c r="H6" s="45">
        <f t="shared" si="0"/>
        <v>1.4703155999999999</v>
      </c>
      <c r="I6" s="45">
        <v>341.98250000000002</v>
      </c>
      <c r="J6" s="46">
        <v>2.8E-3</v>
      </c>
      <c r="K6" s="44">
        <v>2.8E-3</v>
      </c>
      <c r="L6" s="44">
        <v>1.0687</v>
      </c>
      <c r="O6" s="3">
        <f t="shared" si="2"/>
        <v>1.0395378000000002</v>
      </c>
      <c r="P6" s="3">
        <f t="shared" si="1"/>
        <v>369.22750000000002</v>
      </c>
      <c r="R6" s="3">
        <f>R5</f>
        <v>0.25103340000000002</v>
      </c>
      <c r="S6" s="3">
        <f t="shared" si="3"/>
        <v>0.25103340000000002</v>
      </c>
      <c r="T6" s="3">
        <f>P4</f>
        <v>266.88499999999999</v>
      </c>
      <c r="V6">
        <v>0</v>
      </c>
      <c r="W6">
        <v>320</v>
      </c>
      <c r="Y6" s="3">
        <f>V8</f>
        <v>4.3994124000000001</v>
      </c>
      <c r="Z6">
        <v>4</v>
      </c>
      <c r="AA6">
        <f>Y6*Z6</f>
        <v>17.5976496</v>
      </c>
      <c r="AB6">
        <v>6</v>
      </c>
      <c r="AC6">
        <f>AA6*AB6</f>
        <v>105.58589760000001</v>
      </c>
      <c r="AD6">
        <f>AC6/0.65</f>
        <v>162.43984246153846</v>
      </c>
      <c r="AG6">
        <f>AC11</f>
        <v>439.44582500000001</v>
      </c>
      <c r="AH6">
        <f>AD6</f>
        <v>162.43984246153846</v>
      </c>
      <c r="AI6" s="17">
        <f>AG6/AH6</f>
        <v>2.705283496590742</v>
      </c>
    </row>
    <row r="7" spans="1:35" x14ac:dyDescent="0.45">
      <c r="A7" s="43">
        <v>12</v>
      </c>
      <c r="B7" s="43">
        <v>122</v>
      </c>
      <c r="C7" s="43">
        <v>101</v>
      </c>
      <c r="D7" s="43">
        <v>0</v>
      </c>
      <c r="E7" s="44">
        <v>0.91779999999999995</v>
      </c>
      <c r="F7" s="44">
        <v>0.99380000000000002</v>
      </c>
      <c r="G7" s="45">
        <f t="shared" si="0"/>
        <v>1.4703155999999999</v>
      </c>
      <c r="H7" s="45">
        <f t="shared" si="0"/>
        <v>1.5920676</v>
      </c>
      <c r="I7" s="45">
        <v>341.98250000000002</v>
      </c>
      <c r="J7" s="46">
        <v>0.1734</v>
      </c>
      <c r="K7" s="44">
        <v>0.1734</v>
      </c>
      <c r="L7" s="44">
        <v>1.0687</v>
      </c>
      <c r="O7" s="3">
        <f t="shared" si="2"/>
        <v>1.4685534</v>
      </c>
      <c r="P7" s="3">
        <f t="shared" si="1"/>
        <v>341.98250000000002</v>
      </c>
      <c r="R7" s="3">
        <f>O5</f>
        <v>0.74701260000000003</v>
      </c>
      <c r="S7" s="3">
        <f t="shared" si="3"/>
        <v>0.74701260000000003</v>
      </c>
      <c r="T7" s="3">
        <f>T6</f>
        <v>266.88499999999999</v>
      </c>
      <c r="V7" s="3">
        <f>S46</f>
        <v>4.3994124000000001</v>
      </c>
      <c r="W7">
        <v>320</v>
      </c>
      <c r="Y7" s="3">
        <f>Y6</f>
        <v>4.3994124000000001</v>
      </c>
      <c r="Z7">
        <v>1</v>
      </c>
      <c r="AA7">
        <f>Y7*Z7</f>
        <v>4.3994124000000001</v>
      </c>
      <c r="AB7">
        <v>6</v>
      </c>
      <c r="AC7">
        <f>AA7*AB7</f>
        <v>26.396474400000002</v>
      </c>
      <c r="AD7">
        <f>AC7/0.65</f>
        <v>40.609960615384615</v>
      </c>
    </row>
    <row r="8" spans="1:35" x14ac:dyDescent="0.45">
      <c r="A8" s="43">
        <v>12</v>
      </c>
      <c r="B8" s="43">
        <v>101</v>
      </c>
      <c r="C8" s="43">
        <v>123</v>
      </c>
      <c r="D8" s="43">
        <v>0</v>
      </c>
      <c r="E8" s="44">
        <v>0.99380000000000002</v>
      </c>
      <c r="F8" s="44">
        <v>0.99560000000000004</v>
      </c>
      <c r="G8" s="45">
        <f t="shared" si="0"/>
        <v>1.5920676</v>
      </c>
      <c r="H8" s="45">
        <f t="shared" si="0"/>
        <v>1.5949512000000001</v>
      </c>
      <c r="I8" s="45">
        <v>339.98</v>
      </c>
      <c r="J8" s="46">
        <v>4.8999999999999998E-3</v>
      </c>
      <c r="K8" s="44">
        <v>4.8999999999999998E-3</v>
      </c>
      <c r="L8" s="44">
        <v>1.0624</v>
      </c>
      <c r="O8" s="3">
        <f t="shared" si="2"/>
        <v>1.4703155999999999</v>
      </c>
      <c r="P8" s="3">
        <f t="shared" si="1"/>
        <v>341.98250000000002</v>
      </c>
      <c r="R8" s="3">
        <f>R7</f>
        <v>0.74701260000000003</v>
      </c>
      <c r="S8" s="3">
        <f t="shared" si="3"/>
        <v>0.74701260000000003</v>
      </c>
      <c r="T8" s="3">
        <f>P5</f>
        <v>354.78750000000002</v>
      </c>
      <c r="V8" s="3">
        <f>V7</f>
        <v>4.3994124000000001</v>
      </c>
      <c r="W8">
        <v>0</v>
      </c>
    </row>
    <row r="9" spans="1:35" x14ac:dyDescent="0.45">
      <c r="A9" s="43">
        <v>12</v>
      </c>
      <c r="B9" s="43">
        <v>123</v>
      </c>
      <c r="C9" s="43">
        <v>124</v>
      </c>
      <c r="D9" s="43">
        <v>0</v>
      </c>
      <c r="E9" s="44">
        <v>0.99560000000000004</v>
      </c>
      <c r="F9" s="44">
        <v>1.1878</v>
      </c>
      <c r="G9" s="45">
        <f t="shared" si="0"/>
        <v>1.5949512000000001</v>
      </c>
      <c r="H9" s="45">
        <f t="shared" si="0"/>
        <v>1.9028556000000001</v>
      </c>
      <c r="I9" s="45">
        <v>339.98</v>
      </c>
      <c r="J9" s="46">
        <v>0.66820000000000002</v>
      </c>
      <c r="K9" s="44">
        <v>0.66820000000000002</v>
      </c>
      <c r="L9" s="44">
        <v>1.0624</v>
      </c>
      <c r="O9" s="3">
        <f t="shared" si="2"/>
        <v>1.5920676</v>
      </c>
      <c r="P9" s="3">
        <f t="shared" si="1"/>
        <v>339.98</v>
      </c>
      <c r="R9" s="3">
        <f>O6</f>
        <v>1.0395378000000002</v>
      </c>
      <c r="S9" s="3">
        <f t="shared" si="3"/>
        <v>1.0395378000000002</v>
      </c>
      <c r="T9" s="3">
        <f>T8</f>
        <v>354.78750000000002</v>
      </c>
    </row>
    <row r="10" spans="1:35" x14ac:dyDescent="0.45">
      <c r="A10" s="43">
        <v>12</v>
      </c>
      <c r="B10" s="43">
        <v>124</v>
      </c>
      <c r="C10" s="43">
        <v>114</v>
      </c>
      <c r="D10" s="43">
        <v>0</v>
      </c>
      <c r="E10" s="44">
        <v>1.1878</v>
      </c>
      <c r="F10" s="44">
        <v>1.3029999999999999</v>
      </c>
      <c r="G10" s="45">
        <f t="shared" si="0"/>
        <v>1.9028556000000001</v>
      </c>
      <c r="H10" s="45">
        <f t="shared" si="0"/>
        <v>2.0874060000000001</v>
      </c>
      <c r="I10" s="45">
        <v>134.63249999999999</v>
      </c>
      <c r="J10" s="46">
        <v>3.4687999999999999</v>
      </c>
      <c r="K10" s="44">
        <v>3.4687999999999999</v>
      </c>
      <c r="L10" s="44">
        <v>0.42070000000000002</v>
      </c>
      <c r="O10" s="3">
        <f t="shared" si="2"/>
        <v>1.5949512000000001</v>
      </c>
      <c r="P10" s="3">
        <f t="shared" si="1"/>
        <v>339.98</v>
      </c>
      <c r="R10" s="3">
        <f>R9</f>
        <v>1.0395378000000002</v>
      </c>
      <c r="S10" s="3">
        <f t="shared" si="3"/>
        <v>1.0395378000000002</v>
      </c>
      <c r="T10" s="3">
        <f>P6</f>
        <v>369.22750000000002</v>
      </c>
      <c r="Y10" t="s">
        <v>60</v>
      </c>
      <c r="Z10" t="s">
        <v>61</v>
      </c>
      <c r="AA10" t="s">
        <v>62</v>
      </c>
      <c r="AB10" t="s">
        <v>63</v>
      </c>
      <c r="AC10" t="s">
        <v>64</v>
      </c>
    </row>
    <row r="11" spans="1:35" x14ac:dyDescent="0.45">
      <c r="A11" s="43">
        <v>12</v>
      </c>
      <c r="B11" s="43">
        <v>114</v>
      </c>
      <c r="C11" s="43">
        <v>104</v>
      </c>
      <c r="D11" s="43">
        <v>0</v>
      </c>
      <c r="E11" s="44">
        <v>1.3029999999999999</v>
      </c>
      <c r="F11" s="44">
        <v>1.3758999999999999</v>
      </c>
      <c r="G11" s="45">
        <f t="shared" si="0"/>
        <v>2.0874060000000001</v>
      </c>
      <c r="H11" s="45">
        <f t="shared" si="0"/>
        <v>2.2041917999999998</v>
      </c>
      <c r="I11" s="45">
        <v>92.137500000000003</v>
      </c>
      <c r="J11" s="46">
        <v>0.26779999999999998</v>
      </c>
      <c r="K11" s="44">
        <v>0.26779999999999998</v>
      </c>
      <c r="L11" s="44">
        <v>0.28789999999999999</v>
      </c>
      <c r="O11" s="3">
        <f t="shared" si="2"/>
        <v>1.9028556000000001</v>
      </c>
      <c r="P11" s="3">
        <f t="shared" si="1"/>
        <v>134.63249999999999</v>
      </c>
      <c r="R11" s="3">
        <f>O7</f>
        <v>1.4685534</v>
      </c>
      <c r="S11" s="3">
        <f t="shared" si="3"/>
        <v>1.4685534</v>
      </c>
      <c r="T11" s="3">
        <f>T10</f>
        <v>369.22750000000002</v>
      </c>
      <c r="Y11" s="3">
        <v>482.90750000000003</v>
      </c>
      <c r="Z11">
        <v>1.3</v>
      </c>
      <c r="AA11">
        <f>Y11*Z11</f>
        <v>627.77975000000004</v>
      </c>
      <c r="AB11" s="16">
        <v>0.3</v>
      </c>
      <c r="AC11">
        <f>AA11*(1-AB11)</f>
        <v>439.44582500000001</v>
      </c>
    </row>
    <row r="12" spans="1:35" x14ac:dyDescent="0.45">
      <c r="A12" s="43">
        <v>12</v>
      </c>
      <c r="B12" s="43">
        <v>104</v>
      </c>
      <c r="C12" s="43">
        <v>113</v>
      </c>
      <c r="D12" s="43">
        <v>0</v>
      </c>
      <c r="E12" s="44">
        <v>1.3758999999999999</v>
      </c>
      <c r="F12" s="44">
        <v>1.4510000000000001</v>
      </c>
      <c r="G12" s="45">
        <f t="shared" si="0"/>
        <v>2.2041917999999998</v>
      </c>
      <c r="H12" s="45">
        <f t="shared" si="0"/>
        <v>2.3245020000000003</v>
      </c>
      <c r="I12" s="45">
        <v>39.520000000000003</v>
      </c>
      <c r="J12" s="46">
        <v>0.1784</v>
      </c>
      <c r="K12" s="44">
        <v>0.1784</v>
      </c>
      <c r="L12" s="44">
        <v>0.1235</v>
      </c>
      <c r="O12" s="3">
        <f t="shared" si="2"/>
        <v>2.0874060000000001</v>
      </c>
      <c r="P12" s="3">
        <f t="shared" si="1"/>
        <v>92.137500000000003</v>
      </c>
      <c r="R12" s="3">
        <f>R11</f>
        <v>1.4685534</v>
      </c>
      <c r="S12" s="3">
        <f t="shared" si="3"/>
        <v>1.4685534</v>
      </c>
      <c r="T12" s="3">
        <f>P7</f>
        <v>341.98250000000002</v>
      </c>
    </row>
    <row r="13" spans="1:35" x14ac:dyDescent="0.45">
      <c r="A13" s="47">
        <v>13</v>
      </c>
      <c r="B13" s="47">
        <v>128</v>
      </c>
      <c r="C13" s="47">
        <v>110</v>
      </c>
      <c r="D13" s="47">
        <v>0</v>
      </c>
      <c r="E13" s="48">
        <v>0</v>
      </c>
      <c r="F13" s="48">
        <v>6.0199999999999997E-2</v>
      </c>
      <c r="G13" s="49">
        <f t="shared" si="0"/>
        <v>0</v>
      </c>
      <c r="H13" s="49">
        <f t="shared" si="0"/>
        <v>9.6440399999999996E-2</v>
      </c>
      <c r="I13" s="49">
        <v>9.9525000000000006</v>
      </c>
      <c r="J13" s="50">
        <v>0.1749</v>
      </c>
      <c r="K13" s="48">
        <v>0.1749</v>
      </c>
      <c r="L13" s="48">
        <v>3.1099999999999999E-2</v>
      </c>
      <c r="O13" s="3">
        <f t="shared" si="2"/>
        <v>2.2041917999999998</v>
      </c>
      <c r="P13" s="3">
        <f t="shared" si="1"/>
        <v>39.520000000000003</v>
      </c>
      <c r="R13" s="3">
        <f>O8</f>
        <v>1.4703155999999999</v>
      </c>
      <c r="S13" s="3">
        <f t="shared" si="3"/>
        <v>1.4703155999999999</v>
      </c>
      <c r="T13" s="3">
        <f>T12</f>
        <v>341.98250000000002</v>
      </c>
      <c r="X13" t="s">
        <v>66</v>
      </c>
    </row>
    <row r="14" spans="1:35" x14ac:dyDescent="0.45">
      <c r="A14" s="47">
        <v>13</v>
      </c>
      <c r="B14" s="47">
        <v>110</v>
      </c>
      <c r="C14" s="47">
        <v>111</v>
      </c>
      <c r="D14" s="47">
        <v>0</v>
      </c>
      <c r="E14" s="48">
        <v>6.0199999999999997E-2</v>
      </c>
      <c r="F14" s="48">
        <v>6.1400000000000003E-2</v>
      </c>
      <c r="G14" s="49">
        <f t="shared" si="0"/>
        <v>9.6440399999999996E-2</v>
      </c>
      <c r="H14" s="49">
        <f t="shared" si="0"/>
        <v>9.8362800000000014E-2</v>
      </c>
      <c r="I14" s="49">
        <v>43.414999999999999</v>
      </c>
      <c r="J14" s="50">
        <v>3.2000000000000002E-3</v>
      </c>
      <c r="K14" s="48">
        <v>3.2000000000000002E-3</v>
      </c>
      <c r="L14" s="48">
        <v>0.13569999999999999</v>
      </c>
      <c r="O14" s="3">
        <f>H12</f>
        <v>2.3245020000000003</v>
      </c>
      <c r="P14" s="3">
        <f>0</f>
        <v>0</v>
      </c>
      <c r="R14" s="3">
        <f>R13</f>
        <v>1.4703155999999999</v>
      </c>
      <c r="S14" s="3">
        <f t="shared" si="3"/>
        <v>1.4703155999999999</v>
      </c>
      <c r="T14" s="3">
        <f>P8</f>
        <v>341.98250000000002</v>
      </c>
      <c r="V14" t="s">
        <v>65</v>
      </c>
      <c r="W14" s="3">
        <f>MAX(T6:T41)</f>
        <v>369.22750000000002</v>
      </c>
      <c r="X14">
        <f>W14-W7</f>
        <v>49.22750000000002</v>
      </c>
    </row>
    <row r="15" spans="1:35" x14ac:dyDescent="0.45">
      <c r="A15" s="47">
        <v>13</v>
      </c>
      <c r="B15" s="47">
        <v>111</v>
      </c>
      <c r="C15" s="47">
        <v>108</v>
      </c>
      <c r="D15" s="47">
        <v>0</v>
      </c>
      <c r="E15" s="48">
        <v>6.1400000000000003E-2</v>
      </c>
      <c r="F15" s="48">
        <v>0.23680000000000001</v>
      </c>
      <c r="G15" s="49">
        <f t="shared" si="0"/>
        <v>9.8362800000000014E-2</v>
      </c>
      <c r="H15" s="49">
        <f t="shared" si="0"/>
        <v>0.37935360000000001</v>
      </c>
      <c r="I15" s="49">
        <v>43.414999999999999</v>
      </c>
      <c r="J15" s="50">
        <v>2.0598999999999998</v>
      </c>
      <c r="K15" s="48">
        <v>2.0598999999999998</v>
      </c>
      <c r="L15" s="48">
        <v>0.13569999999999999</v>
      </c>
      <c r="O15" s="3">
        <f t="shared" ref="O15:O23" si="4">G13</f>
        <v>0</v>
      </c>
      <c r="P15" s="3">
        <f t="shared" ref="P15:P23" si="5">I13</f>
        <v>9.9525000000000006</v>
      </c>
      <c r="R15" s="3">
        <f>O9</f>
        <v>1.5920676</v>
      </c>
      <c r="S15" s="3">
        <f t="shared" si="3"/>
        <v>1.5920676</v>
      </c>
      <c r="T15" s="3">
        <f>T14</f>
        <v>341.98250000000002</v>
      </c>
    </row>
    <row r="16" spans="1:35" x14ac:dyDescent="0.45">
      <c r="A16" s="47">
        <v>13</v>
      </c>
      <c r="B16" s="47">
        <v>108</v>
      </c>
      <c r="C16" s="47">
        <v>107</v>
      </c>
      <c r="D16" s="47">
        <v>0</v>
      </c>
      <c r="E16" s="48">
        <v>0.23680000000000001</v>
      </c>
      <c r="F16" s="48">
        <v>0.2382</v>
      </c>
      <c r="G16" s="49">
        <f t="shared" si="0"/>
        <v>0.37935360000000001</v>
      </c>
      <c r="H16" s="49">
        <f t="shared" si="0"/>
        <v>0.3815964</v>
      </c>
      <c r="I16" s="49">
        <v>45.127499999999998</v>
      </c>
      <c r="J16" s="50">
        <v>2.0400000000000001E-2</v>
      </c>
      <c r="K16" s="48">
        <v>2.0400000000000001E-2</v>
      </c>
      <c r="L16" s="48">
        <v>0.14099999999999999</v>
      </c>
      <c r="O16" s="3">
        <f t="shared" si="4"/>
        <v>9.6440399999999996E-2</v>
      </c>
      <c r="P16" s="3">
        <f t="shared" si="5"/>
        <v>43.414999999999999</v>
      </c>
      <c r="R16" s="3">
        <f>R15</f>
        <v>1.5920676</v>
      </c>
      <c r="S16" s="3">
        <f t="shared" si="3"/>
        <v>1.5920676</v>
      </c>
      <c r="T16" s="3">
        <f>P9</f>
        <v>339.98</v>
      </c>
    </row>
    <row r="17" spans="1:28" x14ac:dyDescent="0.45">
      <c r="A17" s="47">
        <v>13</v>
      </c>
      <c r="B17" s="47">
        <v>107</v>
      </c>
      <c r="C17" s="47">
        <v>106</v>
      </c>
      <c r="D17" s="47">
        <v>0</v>
      </c>
      <c r="E17" s="48">
        <v>0.2382</v>
      </c>
      <c r="F17" s="48">
        <v>0.35520000000000002</v>
      </c>
      <c r="G17" s="49">
        <f t="shared" si="0"/>
        <v>0.3815964</v>
      </c>
      <c r="H17" s="49">
        <f t="shared" si="0"/>
        <v>0.56903040000000005</v>
      </c>
      <c r="I17" s="49">
        <v>45.127499999999998</v>
      </c>
      <c r="J17" s="50">
        <v>0.66910000000000003</v>
      </c>
      <c r="K17" s="48">
        <v>0.66910000000000003</v>
      </c>
      <c r="L17" s="48">
        <v>0.14099999999999999</v>
      </c>
      <c r="O17" s="3">
        <f t="shared" si="4"/>
        <v>9.8362800000000014E-2</v>
      </c>
      <c r="P17" s="3">
        <f t="shared" si="5"/>
        <v>43.414999999999999</v>
      </c>
      <c r="R17" s="3">
        <f>O10</f>
        <v>1.5949512000000001</v>
      </c>
      <c r="S17" s="3">
        <f t="shared" si="3"/>
        <v>1.5949512000000001</v>
      </c>
      <c r="T17" s="3">
        <f>T16</f>
        <v>339.98</v>
      </c>
      <c r="AA17" t="s">
        <v>71</v>
      </c>
      <c r="AB17" t="s">
        <v>78</v>
      </c>
    </row>
    <row r="18" spans="1:28" x14ac:dyDescent="0.45">
      <c r="A18" s="47">
        <v>13</v>
      </c>
      <c r="B18" s="47">
        <v>106</v>
      </c>
      <c r="C18" s="47">
        <v>129</v>
      </c>
      <c r="D18" s="47">
        <v>0</v>
      </c>
      <c r="E18" s="48">
        <v>0.35520000000000002</v>
      </c>
      <c r="F18" s="48">
        <v>0.5625</v>
      </c>
      <c r="G18" s="49">
        <f t="shared" si="0"/>
        <v>0.56903040000000005</v>
      </c>
      <c r="H18" s="49">
        <f t="shared" si="0"/>
        <v>0.90112500000000006</v>
      </c>
      <c r="I18" s="49">
        <v>67.680000000000007</v>
      </c>
      <c r="J18" s="50">
        <v>1.3376999999999999</v>
      </c>
      <c r="K18" s="48">
        <v>1.3376999999999999</v>
      </c>
      <c r="L18" s="48">
        <v>0.21149999999999999</v>
      </c>
      <c r="O18" s="3">
        <f t="shared" si="4"/>
        <v>0.37935360000000001</v>
      </c>
      <c r="P18" s="3">
        <f t="shared" si="5"/>
        <v>45.127499999999998</v>
      </c>
      <c r="R18" s="3">
        <f>R17</f>
        <v>1.5949512000000001</v>
      </c>
      <c r="S18" s="3">
        <f t="shared" si="3"/>
        <v>1.5949512000000001</v>
      </c>
      <c r="T18" s="3">
        <f>P10</f>
        <v>339.98</v>
      </c>
      <c r="W18" t="s">
        <v>71</v>
      </c>
      <c r="Z18" t="s">
        <v>76</v>
      </c>
      <c r="AA18" s="3">
        <f>W19+W20+W22+W23+W25+W26</f>
        <v>80.892200000000003</v>
      </c>
      <c r="AB18">
        <f>AA18/60</f>
        <v>1.3482033333333334</v>
      </c>
    </row>
    <row r="19" spans="1:28" x14ac:dyDescent="0.45">
      <c r="A19" s="47">
        <v>13</v>
      </c>
      <c r="B19" s="47">
        <v>129</v>
      </c>
      <c r="C19" s="47">
        <v>130</v>
      </c>
      <c r="D19" s="47">
        <v>0</v>
      </c>
      <c r="E19" s="48">
        <v>0.5625</v>
      </c>
      <c r="F19" s="48">
        <v>0.76429999999999998</v>
      </c>
      <c r="G19" s="49">
        <f t="shared" si="0"/>
        <v>0.90112500000000006</v>
      </c>
      <c r="H19" s="49">
        <f t="shared" si="0"/>
        <v>1.2244086000000001</v>
      </c>
      <c r="I19" s="49">
        <v>76.047499999999999</v>
      </c>
      <c r="J19" s="50">
        <v>1.9937</v>
      </c>
      <c r="K19" s="48">
        <v>1.9937</v>
      </c>
      <c r="L19" s="48">
        <v>0.23760000000000001</v>
      </c>
      <c r="O19" s="3">
        <f t="shared" si="4"/>
        <v>0.3815964</v>
      </c>
      <c r="P19" s="3">
        <f t="shared" si="5"/>
        <v>45.127499999999998</v>
      </c>
      <c r="R19" s="3">
        <f>O11</f>
        <v>1.9028556000000001</v>
      </c>
      <c r="S19" s="3">
        <f t="shared" si="3"/>
        <v>1.9028556000000001</v>
      </c>
      <c r="T19" s="3">
        <f>T18</f>
        <v>339.98</v>
      </c>
      <c r="V19" t="s">
        <v>69</v>
      </c>
      <c r="W19" s="3">
        <f>SUM(J2:J12)</f>
        <v>14.311400000000001</v>
      </c>
    </row>
    <row r="20" spans="1:28" x14ac:dyDescent="0.45">
      <c r="A20" s="47">
        <v>13</v>
      </c>
      <c r="B20" s="47">
        <v>130</v>
      </c>
      <c r="C20" s="47">
        <v>131</v>
      </c>
      <c r="D20" s="47">
        <v>0</v>
      </c>
      <c r="E20" s="48">
        <v>0.76429999999999998</v>
      </c>
      <c r="F20" s="48">
        <v>0.8458</v>
      </c>
      <c r="G20" s="49">
        <f t="shared" si="0"/>
        <v>1.2244086000000001</v>
      </c>
      <c r="H20" s="49">
        <f t="shared" si="0"/>
        <v>1.3549716000000001</v>
      </c>
      <c r="I20" s="49">
        <v>93.42</v>
      </c>
      <c r="J20" s="50">
        <v>1.6009</v>
      </c>
      <c r="K20" s="48">
        <v>1.6009</v>
      </c>
      <c r="L20" s="48">
        <v>0.29189999999999999</v>
      </c>
      <c r="O20" s="3">
        <f t="shared" si="4"/>
        <v>0.56903040000000005</v>
      </c>
      <c r="P20" s="3">
        <f t="shared" si="5"/>
        <v>67.680000000000007</v>
      </c>
      <c r="R20" s="3">
        <f>R19</f>
        <v>1.9028556000000001</v>
      </c>
      <c r="S20" s="3">
        <f t="shared" si="3"/>
        <v>1.9028556000000001</v>
      </c>
      <c r="T20" s="3">
        <f>P11</f>
        <v>134.63249999999999</v>
      </c>
      <c r="V20" t="s">
        <v>70</v>
      </c>
      <c r="W20" s="3">
        <f>SUM(J13:J21)</f>
        <v>9.5808</v>
      </c>
    </row>
    <row r="21" spans="1:28" x14ac:dyDescent="0.45">
      <c r="A21" s="47">
        <v>13</v>
      </c>
      <c r="B21" s="47">
        <v>131</v>
      </c>
      <c r="C21" s="47">
        <v>132</v>
      </c>
      <c r="D21" s="47">
        <v>0</v>
      </c>
      <c r="E21" s="48">
        <v>0.8458</v>
      </c>
      <c r="F21" s="48">
        <v>1.2951999999999999</v>
      </c>
      <c r="G21" s="49">
        <f t="shared" si="0"/>
        <v>1.3549716000000001</v>
      </c>
      <c r="H21" s="49">
        <f t="shared" si="0"/>
        <v>2.0749103999999998</v>
      </c>
      <c r="I21" s="49">
        <v>97.35</v>
      </c>
      <c r="J21" s="50">
        <v>1.7210000000000001</v>
      </c>
      <c r="K21" s="48">
        <v>1.7210000000000001</v>
      </c>
      <c r="L21" s="48">
        <v>0.30420000000000003</v>
      </c>
      <c r="O21" s="3">
        <f t="shared" si="4"/>
        <v>0.90112500000000006</v>
      </c>
      <c r="P21" s="3">
        <f t="shared" si="5"/>
        <v>76.047499999999999</v>
      </c>
      <c r="R21" s="3">
        <f>O12</f>
        <v>2.0874060000000001</v>
      </c>
      <c r="S21" s="3">
        <f t="shared" si="3"/>
        <v>2.0874060000000001</v>
      </c>
      <c r="T21" s="3">
        <f>T20</f>
        <v>134.63249999999999</v>
      </c>
    </row>
    <row r="22" spans="1:28" x14ac:dyDescent="0.45">
      <c r="O22" s="3">
        <f t="shared" si="4"/>
        <v>1.2244086000000001</v>
      </c>
      <c r="P22" s="3">
        <f t="shared" si="5"/>
        <v>93.42</v>
      </c>
      <c r="R22" s="3">
        <f>R21</f>
        <v>2.0874060000000001</v>
      </c>
      <c r="S22" s="3">
        <f t="shared" si="3"/>
        <v>2.0874060000000001</v>
      </c>
      <c r="T22" s="3">
        <f>P12</f>
        <v>92.137500000000003</v>
      </c>
      <c r="V22" t="s">
        <v>72</v>
      </c>
      <c r="W22">
        <f>10*1.5</f>
        <v>15</v>
      </c>
      <c r="Z22" t="s">
        <v>77</v>
      </c>
      <c r="AA22">
        <v>4</v>
      </c>
    </row>
    <row r="23" spans="1:28" x14ac:dyDescent="0.45">
      <c r="O23" s="3">
        <f t="shared" si="4"/>
        <v>1.3549716000000001</v>
      </c>
      <c r="P23" s="3">
        <f t="shared" si="5"/>
        <v>97.35</v>
      </c>
      <c r="R23" s="3">
        <f>O13</f>
        <v>2.2041917999999998</v>
      </c>
      <c r="S23" s="3">
        <f t="shared" si="3"/>
        <v>2.2041917999999998</v>
      </c>
      <c r="T23" s="3">
        <f>T22</f>
        <v>92.137500000000003</v>
      </c>
      <c r="V23" t="s">
        <v>73</v>
      </c>
      <c r="W23">
        <f>8*1.5</f>
        <v>12</v>
      </c>
    </row>
    <row r="24" spans="1:28" x14ac:dyDescent="0.45">
      <c r="O24" s="3">
        <f>H21</f>
        <v>2.0749103999999998</v>
      </c>
      <c r="P24" s="3">
        <f>0</f>
        <v>0</v>
      </c>
      <c r="R24" s="3">
        <f>R23</f>
        <v>2.2041917999999998</v>
      </c>
      <c r="S24" s="3">
        <f t="shared" si="3"/>
        <v>2.2041917999999998</v>
      </c>
      <c r="T24" s="3">
        <f>P13</f>
        <v>39.520000000000003</v>
      </c>
    </row>
    <row r="25" spans="1:28" x14ac:dyDescent="0.45">
      <c r="R25" s="3">
        <f>O14</f>
        <v>2.3245020000000003</v>
      </c>
      <c r="S25" s="3">
        <f t="shared" si="3"/>
        <v>2.3245020000000003</v>
      </c>
      <c r="T25" s="3">
        <f>T24</f>
        <v>39.520000000000003</v>
      </c>
      <c r="V25" t="s">
        <v>75</v>
      </c>
      <c r="W25">
        <f>10+5</f>
        <v>15</v>
      </c>
    </row>
    <row r="26" spans="1:28" x14ac:dyDescent="0.45">
      <c r="R26" s="3">
        <f>R25</f>
        <v>2.3245020000000003</v>
      </c>
      <c r="S26" s="3">
        <f t="shared" si="3"/>
        <v>2.3245020000000003</v>
      </c>
      <c r="T26" s="3">
        <f>P14</f>
        <v>0</v>
      </c>
      <c r="V26" t="s">
        <v>74</v>
      </c>
      <c r="W26">
        <f>10+5</f>
        <v>15</v>
      </c>
      <c r="Z26" t="s">
        <v>79</v>
      </c>
      <c r="AA26">
        <f>INT(AB18+AA22)+1</f>
        <v>6</v>
      </c>
    </row>
    <row r="27" spans="1:28" x14ac:dyDescent="0.45">
      <c r="R27" s="3">
        <f>O15</f>
        <v>0</v>
      </c>
      <c r="S27" s="3">
        <f>$S$26+R27</f>
        <v>2.3245020000000003</v>
      </c>
      <c r="T27" s="3">
        <f>T26</f>
        <v>0</v>
      </c>
    </row>
    <row r="28" spans="1:28" x14ac:dyDescent="0.45">
      <c r="R28" s="3">
        <f>R27</f>
        <v>0</v>
      </c>
      <c r="S28" s="3">
        <f t="shared" ref="S28:S45" si="6">$S$26+R28</f>
        <v>2.3245020000000003</v>
      </c>
      <c r="T28" s="3">
        <f>P15</f>
        <v>9.9525000000000006</v>
      </c>
    </row>
    <row r="29" spans="1:28" x14ac:dyDescent="0.45">
      <c r="R29" s="3">
        <f>O16</f>
        <v>9.6440399999999996E-2</v>
      </c>
      <c r="S29" s="3">
        <f t="shared" si="6"/>
        <v>2.4209424000000004</v>
      </c>
      <c r="T29" s="3">
        <f>T28</f>
        <v>9.9525000000000006</v>
      </c>
    </row>
    <row r="30" spans="1:28" x14ac:dyDescent="0.45">
      <c r="R30" s="3">
        <f>R29</f>
        <v>9.6440399999999996E-2</v>
      </c>
      <c r="S30" s="3">
        <f t="shared" si="6"/>
        <v>2.4209424000000004</v>
      </c>
      <c r="T30" s="3">
        <f>P16</f>
        <v>43.414999999999999</v>
      </c>
    </row>
    <row r="31" spans="1:28" x14ac:dyDescent="0.45">
      <c r="R31" s="3">
        <f>O17</f>
        <v>9.8362800000000014E-2</v>
      </c>
      <c r="S31" s="3">
        <f t="shared" si="6"/>
        <v>2.4228648000000002</v>
      </c>
      <c r="T31" s="3">
        <f>T30</f>
        <v>43.414999999999999</v>
      </c>
    </row>
    <row r="32" spans="1:28" x14ac:dyDescent="0.45">
      <c r="R32" s="3">
        <f>R31</f>
        <v>9.8362800000000014E-2</v>
      </c>
      <c r="S32" s="3">
        <f t="shared" si="6"/>
        <v>2.4228648000000002</v>
      </c>
      <c r="T32" s="3">
        <f>P17</f>
        <v>43.414999999999999</v>
      </c>
    </row>
    <row r="33" spans="18:20" x14ac:dyDescent="0.45">
      <c r="R33" s="3">
        <f>O18</f>
        <v>0.37935360000000001</v>
      </c>
      <c r="S33" s="3">
        <f t="shared" si="6"/>
        <v>2.7038556000000002</v>
      </c>
      <c r="T33" s="3">
        <f>T32</f>
        <v>43.414999999999999</v>
      </c>
    </row>
    <row r="34" spans="18:20" x14ac:dyDescent="0.45">
      <c r="R34" s="3">
        <f>R33</f>
        <v>0.37935360000000001</v>
      </c>
      <c r="S34" s="3">
        <f t="shared" si="6"/>
        <v>2.7038556000000002</v>
      </c>
      <c r="T34" s="3">
        <f>P18</f>
        <v>45.127499999999998</v>
      </c>
    </row>
    <row r="35" spans="18:20" x14ac:dyDescent="0.45">
      <c r="R35" s="3">
        <f>O19</f>
        <v>0.3815964</v>
      </c>
      <c r="S35" s="3">
        <f t="shared" si="6"/>
        <v>2.7060984000000001</v>
      </c>
      <c r="T35" s="3">
        <f>T34</f>
        <v>45.127499999999998</v>
      </c>
    </row>
    <row r="36" spans="18:20" x14ac:dyDescent="0.45">
      <c r="R36" s="3">
        <f>R35</f>
        <v>0.3815964</v>
      </c>
      <c r="S36" s="3">
        <f t="shared" si="6"/>
        <v>2.7060984000000001</v>
      </c>
      <c r="T36" s="3">
        <f>P19</f>
        <v>45.127499999999998</v>
      </c>
    </row>
    <row r="37" spans="18:20" x14ac:dyDescent="0.45">
      <c r="R37" s="3">
        <f>O20</f>
        <v>0.56903040000000005</v>
      </c>
      <c r="S37" s="3">
        <f t="shared" si="6"/>
        <v>2.8935324000000002</v>
      </c>
      <c r="T37" s="3">
        <f>T36</f>
        <v>45.127499999999998</v>
      </c>
    </row>
    <row r="38" spans="18:20" x14ac:dyDescent="0.45">
      <c r="R38" s="3">
        <f>R37</f>
        <v>0.56903040000000005</v>
      </c>
      <c r="S38" s="3">
        <f t="shared" si="6"/>
        <v>2.8935324000000002</v>
      </c>
      <c r="T38" s="3">
        <f>P20</f>
        <v>67.680000000000007</v>
      </c>
    </row>
    <row r="39" spans="18:20" x14ac:dyDescent="0.45">
      <c r="R39" s="3">
        <f>O21</f>
        <v>0.90112500000000006</v>
      </c>
      <c r="S39" s="3">
        <f t="shared" si="6"/>
        <v>3.2256270000000002</v>
      </c>
      <c r="T39" s="3">
        <f>T38</f>
        <v>67.680000000000007</v>
      </c>
    </row>
    <row r="40" spans="18:20" x14ac:dyDescent="0.45">
      <c r="R40" s="3">
        <f>R39</f>
        <v>0.90112500000000006</v>
      </c>
      <c r="S40" s="3">
        <f t="shared" si="6"/>
        <v>3.2256270000000002</v>
      </c>
      <c r="T40" s="3">
        <f>P21</f>
        <v>76.047499999999999</v>
      </c>
    </row>
    <row r="41" spans="18:20" x14ac:dyDescent="0.45">
      <c r="R41" s="3">
        <f>O22</f>
        <v>1.2244086000000001</v>
      </c>
      <c r="S41" s="3">
        <f t="shared" si="6"/>
        <v>3.5489106000000001</v>
      </c>
      <c r="T41" s="3">
        <f>T40</f>
        <v>76.047499999999999</v>
      </c>
    </row>
    <row r="42" spans="18:20" x14ac:dyDescent="0.45">
      <c r="R42" s="3">
        <f>R41</f>
        <v>1.2244086000000001</v>
      </c>
      <c r="S42" s="3">
        <f t="shared" si="6"/>
        <v>3.5489106000000001</v>
      </c>
      <c r="T42" s="3">
        <f>P22</f>
        <v>93.42</v>
      </c>
    </row>
    <row r="43" spans="18:20" x14ac:dyDescent="0.45">
      <c r="R43" s="3">
        <f>O23</f>
        <v>1.3549716000000001</v>
      </c>
      <c r="S43" s="3">
        <f t="shared" si="6"/>
        <v>3.6794736000000006</v>
      </c>
      <c r="T43" s="3">
        <f>T42</f>
        <v>93.42</v>
      </c>
    </row>
    <row r="44" spans="18:20" x14ac:dyDescent="0.45">
      <c r="R44" s="3">
        <f>R43</f>
        <v>1.3549716000000001</v>
      </c>
      <c r="S44" s="3">
        <f t="shared" si="6"/>
        <v>3.6794736000000006</v>
      </c>
      <c r="T44" s="3">
        <f>P23</f>
        <v>97.35</v>
      </c>
    </row>
    <row r="45" spans="18:20" x14ac:dyDescent="0.45">
      <c r="R45" s="3">
        <f>O24</f>
        <v>2.0749103999999998</v>
      </c>
      <c r="S45" s="3">
        <f t="shared" si="6"/>
        <v>4.3994124000000001</v>
      </c>
      <c r="T45" s="3">
        <f>T44</f>
        <v>97.35</v>
      </c>
    </row>
    <row r="46" spans="18:20" x14ac:dyDescent="0.45">
      <c r="R46" s="3">
        <f>R45</f>
        <v>2.0749103999999998</v>
      </c>
      <c r="S46" s="3">
        <f>$S$26+R46</f>
        <v>4.3994124000000001</v>
      </c>
      <c r="T46" s="3">
        <f>P24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8D32-2686-48D5-A7C2-EA7D0D7C4333}">
  <dimension ref="A1:K124"/>
  <sheetViews>
    <sheetView topLeftCell="A78" workbookViewId="0">
      <selection activeCell="G109" sqref="G109"/>
    </sheetView>
  </sheetViews>
  <sheetFormatPr defaultRowHeight="14.25" x14ac:dyDescent="0.45"/>
  <cols>
    <col min="1" max="2" width="10.59765625" style="1" customWidth="1"/>
    <col min="3" max="4" width="15.59765625" style="3" customWidth="1"/>
  </cols>
  <sheetData>
    <row r="1" spans="1:4" x14ac:dyDescent="0.45">
      <c r="A1" s="1" t="s">
        <v>30</v>
      </c>
      <c r="B1" s="1" t="s">
        <v>27</v>
      </c>
      <c r="C1" s="3" t="s">
        <v>29</v>
      </c>
      <c r="D1" s="3" t="s">
        <v>28</v>
      </c>
    </row>
    <row r="2" spans="1:4" x14ac:dyDescent="0.45">
      <c r="A2" s="1">
        <v>1</v>
      </c>
      <c r="B2" s="1">
        <v>1</v>
      </c>
      <c r="C2" s="3">
        <v>300.5</v>
      </c>
      <c r="D2" s="3">
        <v>0</v>
      </c>
    </row>
    <row r="3" spans="1:4" x14ac:dyDescent="0.45">
      <c r="A3" s="1">
        <v>2</v>
      </c>
      <c r="B3" s="1">
        <v>1</v>
      </c>
      <c r="C3" s="3">
        <v>99.71</v>
      </c>
      <c r="D3" s="3">
        <v>8.2500000000000004E-2</v>
      </c>
    </row>
    <row r="4" spans="1:4" x14ac:dyDescent="0.45">
      <c r="A4" s="1">
        <v>3</v>
      </c>
      <c r="B4" s="1">
        <v>1</v>
      </c>
      <c r="C4" s="3">
        <v>22.342500000000001</v>
      </c>
      <c r="D4" s="3">
        <v>0.29249999999999998</v>
      </c>
    </row>
    <row r="5" spans="1:4" x14ac:dyDescent="0.45">
      <c r="A5" s="1">
        <v>4</v>
      </c>
      <c r="B5" s="1">
        <v>1</v>
      </c>
      <c r="C5" s="3">
        <v>90.58</v>
      </c>
      <c r="D5" s="3">
        <v>223.8</v>
      </c>
    </row>
    <row r="6" spans="1:4" x14ac:dyDescent="0.45">
      <c r="A6" s="1">
        <v>5</v>
      </c>
      <c r="B6" s="1">
        <v>1</v>
      </c>
      <c r="C6" s="3">
        <v>60.782499999999999</v>
      </c>
      <c r="D6" s="3">
        <v>192.44</v>
      </c>
    </row>
    <row r="7" spans="1:4" x14ac:dyDescent="0.45">
      <c r="A7" s="1">
        <v>6</v>
      </c>
      <c r="B7" s="1">
        <v>1</v>
      </c>
      <c r="C7" s="3">
        <v>0</v>
      </c>
      <c r="D7" s="3">
        <v>157.30000000000001</v>
      </c>
    </row>
    <row r="8" spans="1:4" x14ac:dyDescent="0.45">
      <c r="A8" s="1">
        <v>7</v>
      </c>
      <c r="B8" s="1">
        <v>2</v>
      </c>
      <c r="C8" s="3">
        <v>192.46</v>
      </c>
      <c r="D8" s="3">
        <v>0</v>
      </c>
    </row>
    <row r="9" spans="1:4" x14ac:dyDescent="0.45">
      <c r="A9" s="1">
        <v>8</v>
      </c>
      <c r="B9" s="1">
        <v>2</v>
      </c>
      <c r="C9" s="3">
        <v>399.01</v>
      </c>
      <c r="D9" s="3">
        <v>39.19</v>
      </c>
    </row>
    <row r="10" spans="1:4" x14ac:dyDescent="0.45">
      <c r="A10" s="1">
        <v>9</v>
      </c>
      <c r="B10" s="1">
        <v>2</v>
      </c>
      <c r="C10" s="3">
        <v>371.93990000000002</v>
      </c>
      <c r="D10" s="3">
        <v>126.56</v>
      </c>
    </row>
    <row r="11" spans="1:4" x14ac:dyDescent="0.45">
      <c r="A11" s="1">
        <v>10</v>
      </c>
      <c r="B11" s="1">
        <v>2</v>
      </c>
      <c r="C11" s="3">
        <v>6.25E-2</v>
      </c>
      <c r="D11" s="3">
        <v>32.202500000000001</v>
      </c>
    </row>
    <row r="12" spans="1:4" x14ac:dyDescent="0.45">
      <c r="A12" s="1">
        <v>11</v>
      </c>
      <c r="B12" s="1">
        <v>2</v>
      </c>
      <c r="C12" s="3">
        <v>19.38</v>
      </c>
      <c r="D12" s="3">
        <v>152.38999999999999</v>
      </c>
    </row>
    <row r="13" spans="1:4" x14ac:dyDescent="0.45">
      <c r="A13" s="1">
        <v>12</v>
      </c>
      <c r="B13" s="1">
        <v>2</v>
      </c>
      <c r="C13" s="3">
        <v>0</v>
      </c>
      <c r="D13" s="3">
        <v>632.51</v>
      </c>
    </row>
    <row r="14" spans="1:4" x14ac:dyDescent="0.45">
      <c r="A14" s="1">
        <v>13</v>
      </c>
      <c r="B14" s="1">
        <v>3</v>
      </c>
      <c r="C14" s="3">
        <v>291.93</v>
      </c>
      <c r="D14" s="3">
        <v>0</v>
      </c>
    </row>
    <row r="15" spans="1:4" x14ac:dyDescent="0.45">
      <c r="A15" s="1">
        <v>14</v>
      </c>
      <c r="B15" s="1">
        <v>3</v>
      </c>
      <c r="C15" s="3">
        <v>12.54</v>
      </c>
      <c r="D15" s="3">
        <v>1.41</v>
      </c>
    </row>
    <row r="16" spans="1:4" x14ac:dyDescent="0.45">
      <c r="A16" s="1">
        <v>15</v>
      </c>
      <c r="B16" s="1">
        <v>3</v>
      </c>
      <c r="C16" s="3">
        <v>0</v>
      </c>
      <c r="D16" s="3">
        <v>0</v>
      </c>
    </row>
    <row r="17" spans="1:11" x14ac:dyDescent="0.45">
      <c r="A17" s="1">
        <v>16</v>
      </c>
      <c r="B17" s="1">
        <v>3</v>
      </c>
      <c r="C17" s="3">
        <v>4.6974999999999998</v>
      </c>
      <c r="D17" s="3">
        <v>283.76</v>
      </c>
    </row>
    <row r="18" spans="1:11" x14ac:dyDescent="0.45">
      <c r="A18" s="1">
        <v>17</v>
      </c>
      <c r="B18" s="1">
        <v>3</v>
      </c>
      <c r="C18" s="3">
        <v>0</v>
      </c>
      <c r="D18" s="3">
        <v>23.997499999999999</v>
      </c>
    </row>
    <row r="19" spans="1:11" x14ac:dyDescent="0.45">
      <c r="A19" s="1">
        <v>18</v>
      </c>
      <c r="B19" s="1">
        <v>4</v>
      </c>
      <c r="C19" s="3">
        <v>35.305</v>
      </c>
      <c r="D19" s="3">
        <v>0</v>
      </c>
    </row>
    <row r="20" spans="1:11" x14ac:dyDescent="0.45">
      <c r="A20" s="1">
        <v>19</v>
      </c>
      <c r="B20" s="1">
        <v>4</v>
      </c>
      <c r="C20" s="3">
        <v>222.11750000000001</v>
      </c>
      <c r="D20" s="3">
        <v>0.54500000000000004</v>
      </c>
    </row>
    <row r="21" spans="1:11" x14ac:dyDescent="0.45">
      <c r="A21" s="1">
        <v>20</v>
      </c>
      <c r="B21" s="1">
        <v>4</v>
      </c>
      <c r="C21" s="3">
        <v>0</v>
      </c>
      <c r="D21" s="3">
        <v>0</v>
      </c>
    </row>
    <row r="22" spans="1:11" x14ac:dyDescent="0.45">
      <c r="A22" s="1">
        <v>21</v>
      </c>
      <c r="B22" s="1">
        <v>4</v>
      </c>
      <c r="C22" s="3">
        <v>0.66749999999999998</v>
      </c>
      <c r="D22" s="3">
        <v>108.715</v>
      </c>
    </row>
    <row r="23" spans="1:11" x14ac:dyDescent="0.45">
      <c r="A23" s="1">
        <v>22</v>
      </c>
      <c r="B23" s="1">
        <v>4</v>
      </c>
      <c r="C23" s="3">
        <v>0</v>
      </c>
      <c r="D23" s="3">
        <v>148.83000000000001</v>
      </c>
    </row>
    <row r="24" spans="1:11" x14ac:dyDescent="0.45">
      <c r="A24" s="1">
        <v>23</v>
      </c>
      <c r="B24" s="1">
        <v>5</v>
      </c>
      <c r="C24" s="3">
        <v>292.58999999999997</v>
      </c>
      <c r="D24" s="3">
        <v>0</v>
      </c>
    </row>
    <row r="25" spans="1:11" x14ac:dyDescent="0.45">
      <c r="A25" s="1">
        <v>24</v>
      </c>
      <c r="B25" s="1">
        <v>5</v>
      </c>
      <c r="C25" s="3">
        <v>12.862500000000001</v>
      </c>
      <c r="D25" s="3">
        <v>6.25E-2</v>
      </c>
    </row>
    <row r="26" spans="1:11" x14ac:dyDescent="0.45">
      <c r="A26" s="1">
        <v>25</v>
      </c>
      <c r="B26" s="1">
        <v>5</v>
      </c>
      <c r="C26" s="3">
        <v>134.27500000000001</v>
      </c>
      <c r="D26" s="3">
        <v>23.052499999999998</v>
      </c>
    </row>
    <row r="27" spans="1:11" x14ac:dyDescent="0.45">
      <c r="A27" s="1">
        <v>26</v>
      </c>
      <c r="B27" s="1">
        <v>5</v>
      </c>
      <c r="C27" s="3">
        <v>0</v>
      </c>
      <c r="D27" s="3">
        <v>416.61250000000001</v>
      </c>
    </row>
    <row r="28" spans="1:11" x14ac:dyDescent="0.45">
      <c r="A28" s="1">
        <v>27</v>
      </c>
      <c r="B28" s="1">
        <v>6</v>
      </c>
      <c r="C28" s="3">
        <v>163.41499999999999</v>
      </c>
      <c r="D28" s="3">
        <v>0</v>
      </c>
    </row>
    <row r="29" spans="1:11" x14ac:dyDescent="0.45">
      <c r="A29" s="1">
        <v>28</v>
      </c>
      <c r="B29" s="1">
        <v>6</v>
      </c>
      <c r="C29" s="3">
        <v>36.8125</v>
      </c>
      <c r="D29" s="3">
        <v>16.545000000000002</v>
      </c>
    </row>
    <row r="30" spans="1:11" x14ac:dyDescent="0.45">
      <c r="A30" s="1">
        <v>29</v>
      </c>
      <c r="B30" s="1">
        <v>6</v>
      </c>
      <c r="C30" s="3">
        <v>4.9574999999999996</v>
      </c>
      <c r="D30" s="3">
        <v>6.2675000000000001</v>
      </c>
    </row>
    <row r="31" spans="1:11" x14ac:dyDescent="0.45">
      <c r="A31" s="1">
        <v>30</v>
      </c>
      <c r="B31" s="1">
        <v>6</v>
      </c>
      <c r="C31" s="3">
        <v>0</v>
      </c>
      <c r="D31" s="3">
        <v>182.3725</v>
      </c>
      <c r="G31" t="s">
        <v>60</v>
      </c>
      <c r="H31" t="s">
        <v>61</v>
      </c>
      <c r="I31" t="s">
        <v>62</v>
      </c>
      <c r="J31" t="s">
        <v>63</v>
      </c>
      <c r="K31" t="s">
        <v>64</v>
      </c>
    </row>
    <row r="32" spans="1:11" x14ac:dyDescent="0.45">
      <c r="A32" s="1">
        <v>31</v>
      </c>
      <c r="B32" s="15">
        <v>7</v>
      </c>
      <c r="C32" s="3">
        <v>371.04250000000002</v>
      </c>
      <c r="D32" s="3">
        <v>0</v>
      </c>
      <c r="G32" s="3">
        <f>SUM(C32:C49)</f>
        <v>628.23750000000007</v>
      </c>
      <c r="H32">
        <v>1.3</v>
      </c>
      <c r="I32">
        <f>G32*H32</f>
        <v>816.70875000000012</v>
      </c>
      <c r="J32" s="16">
        <v>0.3</v>
      </c>
      <c r="K32">
        <f>I32*(1-J32)</f>
        <v>571.69612500000005</v>
      </c>
    </row>
    <row r="33" spans="1:4" x14ac:dyDescent="0.45">
      <c r="A33" s="1">
        <v>32</v>
      </c>
      <c r="B33" s="15">
        <v>7</v>
      </c>
      <c r="C33" s="3">
        <v>11.385</v>
      </c>
      <c r="D33" s="3">
        <v>0.32</v>
      </c>
    </row>
    <row r="34" spans="1:4" x14ac:dyDescent="0.45">
      <c r="A34" s="1">
        <v>33</v>
      </c>
      <c r="B34" s="15">
        <v>7</v>
      </c>
      <c r="C34" s="3">
        <v>21.285</v>
      </c>
      <c r="D34" s="3">
        <v>0</v>
      </c>
    </row>
    <row r="35" spans="1:4" x14ac:dyDescent="0.45">
      <c r="A35" s="1">
        <v>34</v>
      </c>
      <c r="B35" s="15">
        <v>7</v>
      </c>
      <c r="C35" s="3">
        <v>11.475</v>
      </c>
      <c r="D35" s="3">
        <v>0.55500000000000005</v>
      </c>
    </row>
    <row r="36" spans="1:4" x14ac:dyDescent="0.45">
      <c r="A36" s="1">
        <v>35</v>
      </c>
      <c r="B36" s="15">
        <v>7</v>
      </c>
      <c r="C36" s="3">
        <v>1.6525000000000001</v>
      </c>
      <c r="D36" s="3">
        <v>1.02</v>
      </c>
    </row>
    <row r="37" spans="1:4" x14ac:dyDescent="0.45">
      <c r="A37" s="1">
        <v>36</v>
      </c>
      <c r="B37" s="15">
        <v>7</v>
      </c>
      <c r="C37" s="3">
        <v>4.5199999999999996</v>
      </c>
      <c r="D37" s="3">
        <v>0.48</v>
      </c>
    </row>
    <row r="38" spans="1:4" x14ac:dyDescent="0.45">
      <c r="A38" s="1">
        <v>37</v>
      </c>
      <c r="B38" s="15">
        <v>7</v>
      </c>
      <c r="C38" s="3">
        <v>0</v>
      </c>
      <c r="D38" s="3">
        <v>396.4151</v>
      </c>
    </row>
    <row r="39" spans="1:4" x14ac:dyDescent="0.45">
      <c r="A39" s="1">
        <v>39</v>
      </c>
      <c r="B39" s="15">
        <v>7</v>
      </c>
      <c r="C39" s="3">
        <v>0</v>
      </c>
      <c r="D39" s="3">
        <v>13.315</v>
      </c>
    </row>
    <row r="40" spans="1:4" x14ac:dyDescent="0.45">
      <c r="A40" s="1">
        <v>40</v>
      </c>
      <c r="B40" s="15">
        <v>7</v>
      </c>
      <c r="C40" s="3">
        <v>0</v>
      </c>
      <c r="D40" s="3">
        <v>9.2550000000000008</v>
      </c>
    </row>
    <row r="41" spans="1:4" x14ac:dyDescent="0.45">
      <c r="A41" s="1">
        <v>41</v>
      </c>
      <c r="B41" s="15">
        <v>8</v>
      </c>
      <c r="C41" s="3">
        <v>15.025</v>
      </c>
      <c r="D41" s="3">
        <v>0</v>
      </c>
    </row>
    <row r="42" spans="1:4" x14ac:dyDescent="0.45">
      <c r="A42" s="1">
        <v>42</v>
      </c>
      <c r="B42" s="15">
        <v>8</v>
      </c>
      <c r="C42" s="3">
        <v>141.47</v>
      </c>
      <c r="D42" s="3">
        <v>0</v>
      </c>
    </row>
    <row r="43" spans="1:4" x14ac:dyDescent="0.45">
      <c r="A43" s="1">
        <v>43</v>
      </c>
      <c r="B43" s="15">
        <v>8</v>
      </c>
      <c r="C43" s="3">
        <v>43.104999999999997</v>
      </c>
      <c r="D43" s="3">
        <v>0</v>
      </c>
    </row>
    <row r="44" spans="1:4" x14ac:dyDescent="0.45">
      <c r="A44" s="1">
        <v>44</v>
      </c>
      <c r="B44" s="15">
        <v>8</v>
      </c>
      <c r="C44" s="3">
        <v>4.3375000000000004</v>
      </c>
      <c r="D44" s="3">
        <v>1.0925</v>
      </c>
    </row>
    <row r="45" spans="1:4" x14ac:dyDescent="0.45">
      <c r="A45" s="1">
        <v>45</v>
      </c>
      <c r="B45" s="15">
        <v>8</v>
      </c>
      <c r="C45" s="3">
        <v>1.0725</v>
      </c>
      <c r="D45" s="3">
        <v>0</v>
      </c>
    </row>
    <row r="46" spans="1:4" x14ac:dyDescent="0.45">
      <c r="A46" s="1">
        <v>46</v>
      </c>
      <c r="B46" s="15">
        <v>8</v>
      </c>
      <c r="C46" s="3">
        <v>1.6625000000000001</v>
      </c>
      <c r="D46" s="3">
        <v>27.5</v>
      </c>
    </row>
    <row r="47" spans="1:4" x14ac:dyDescent="0.45">
      <c r="A47" s="1">
        <v>47</v>
      </c>
      <c r="B47" s="15">
        <v>8</v>
      </c>
      <c r="C47" s="3">
        <v>0.20499999999999999</v>
      </c>
      <c r="D47" s="3">
        <v>18.62</v>
      </c>
    </row>
    <row r="48" spans="1:4" x14ac:dyDescent="0.45">
      <c r="A48" s="1">
        <v>48</v>
      </c>
      <c r="B48" s="15">
        <v>8</v>
      </c>
      <c r="C48" s="3">
        <v>0</v>
      </c>
      <c r="D48" s="3">
        <v>7.4999999999999997E-3</v>
      </c>
    </row>
    <row r="49" spans="1:11" x14ac:dyDescent="0.45">
      <c r="A49" s="1">
        <v>49</v>
      </c>
      <c r="B49" s="15">
        <v>8</v>
      </c>
      <c r="C49" s="3">
        <v>0</v>
      </c>
      <c r="D49" s="3">
        <v>159.6575</v>
      </c>
    </row>
    <row r="50" spans="1:11" x14ac:dyDescent="0.45">
      <c r="A50" s="1">
        <v>51</v>
      </c>
      <c r="B50" s="21">
        <v>9</v>
      </c>
      <c r="C50" s="3">
        <v>170</v>
      </c>
      <c r="D50" s="3">
        <v>0</v>
      </c>
      <c r="G50" s="3">
        <f>SUM(C50:C61)</f>
        <v>560.51749999999993</v>
      </c>
      <c r="H50">
        <v>1.3</v>
      </c>
      <c r="I50">
        <f>G50*H50</f>
        <v>728.67274999999995</v>
      </c>
      <c r="J50" s="16">
        <v>0.3</v>
      </c>
      <c r="K50">
        <f>I50*(1-J50)</f>
        <v>510.07092499999993</v>
      </c>
    </row>
    <row r="51" spans="1:11" x14ac:dyDescent="0.45">
      <c r="A51" s="1">
        <v>53</v>
      </c>
      <c r="B51" s="21">
        <v>9</v>
      </c>
      <c r="C51" s="3">
        <v>150.78</v>
      </c>
      <c r="D51" s="3">
        <v>14.55</v>
      </c>
    </row>
    <row r="52" spans="1:11" x14ac:dyDescent="0.45">
      <c r="A52" s="1">
        <v>54</v>
      </c>
      <c r="B52" s="21">
        <v>9</v>
      </c>
      <c r="C52" s="3">
        <v>16.77</v>
      </c>
      <c r="D52" s="3">
        <v>9.6475000000000009</v>
      </c>
    </row>
    <row r="53" spans="1:11" x14ac:dyDescent="0.45">
      <c r="A53" s="1">
        <v>55</v>
      </c>
      <c r="B53" s="21">
        <v>9</v>
      </c>
      <c r="C53" s="3">
        <v>21.13</v>
      </c>
      <c r="D53" s="3">
        <v>15.1075</v>
      </c>
    </row>
    <row r="54" spans="1:11" x14ac:dyDescent="0.45">
      <c r="A54" s="1">
        <v>56</v>
      </c>
      <c r="B54" s="21">
        <v>9</v>
      </c>
      <c r="C54" s="3">
        <v>26.31</v>
      </c>
      <c r="D54" s="3">
        <v>140</v>
      </c>
    </row>
    <row r="55" spans="1:11" x14ac:dyDescent="0.45">
      <c r="A55" s="1">
        <v>57</v>
      </c>
      <c r="B55" s="21">
        <v>9</v>
      </c>
      <c r="C55" s="3">
        <v>52.225000000000001</v>
      </c>
      <c r="D55" s="3">
        <v>66.987499999999997</v>
      </c>
    </row>
    <row r="56" spans="1:11" x14ac:dyDescent="0.45">
      <c r="A56" s="1">
        <v>58</v>
      </c>
      <c r="B56" s="21">
        <v>9</v>
      </c>
      <c r="C56" s="3">
        <v>87.42</v>
      </c>
      <c r="D56" s="3">
        <v>75.922499999999999</v>
      </c>
    </row>
    <row r="57" spans="1:11" x14ac:dyDescent="0.45">
      <c r="A57" s="1">
        <v>59</v>
      </c>
      <c r="B57" s="21">
        <v>9</v>
      </c>
      <c r="C57" s="3">
        <v>3.54</v>
      </c>
      <c r="D57" s="3">
        <v>51.417499999999997</v>
      </c>
    </row>
    <row r="58" spans="1:11" x14ac:dyDescent="0.45">
      <c r="A58" s="1">
        <v>60</v>
      </c>
      <c r="B58" s="21">
        <v>9</v>
      </c>
      <c r="C58" s="3">
        <v>12.9375</v>
      </c>
      <c r="D58" s="3">
        <v>15.4725</v>
      </c>
    </row>
    <row r="59" spans="1:11" x14ac:dyDescent="0.45">
      <c r="A59" s="1">
        <v>61</v>
      </c>
      <c r="B59" s="21">
        <v>9</v>
      </c>
      <c r="C59" s="3">
        <v>19.405000000000001</v>
      </c>
      <c r="D59" s="3">
        <v>42.82</v>
      </c>
    </row>
    <row r="60" spans="1:11" x14ac:dyDescent="0.45">
      <c r="A60" s="1">
        <v>52</v>
      </c>
      <c r="B60" s="21">
        <v>9</v>
      </c>
      <c r="C60" s="3">
        <v>0</v>
      </c>
      <c r="D60" s="3">
        <v>0</v>
      </c>
    </row>
    <row r="61" spans="1:11" x14ac:dyDescent="0.45">
      <c r="A61" s="1">
        <v>50</v>
      </c>
      <c r="B61" s="21">
        <v>9</v>
      </c>
      <c r="C61" s="3">
        <v>0</v>
      </c>
      <c r="D61" s="3">
        <v>128.5925</v>
      </c>
    </row>
    <row r="62" spans="1:11" x14ac:dyDescent="0.45">
      <c r="A62" s="1">
        <v>75</v>
      </c>
      <c r="B62" s="31">
        <v>10</v>
      </c>
      <c r="C62" s="3">
        <v>79.907499999999999</v>
      </c>
      <c r="D62" s="3">
        <v>0</v>
      </c>
      <c r="G62" s="3">
        <f>SUM(C62:C69)</f>
        <v>350.68</v>
      </c>
      <c r="H62">
        <v>1.3</v>
      </c>
      <c r="I62">
        <f>G62*H62</f>
        <v>455.88400000000001</v>
      </c>
      <c r="J62" s="16">
        <v>0.3</v>
      </c>
      <c r="K62">
        <f>I62*(1-J62)</f>
        <v>319.11879999999996</v>
      </c>
    </row>
    <row r="63" spans="1:11" x14ac:dyDescent="0.45">
      <c r="A63" s="1">
        <v>76</v>
      </c>
      <c r="B63" s="31">
        <v>10</v>
      </c>
      <c r="C63" s="3">
        <v>31.6</v>
      </c>
      <c r="D63" s="3">
        <v>0</v>
      </c>
    </row>
    <row r="64" spans="1:11" x14ac:dyDescent="0.45">
      <c r="A64" s="1">
        <v>77</v>
      </c>
      <c r="B64" s="31">
        <v>10</v>
      </c>
      <c r="C64" s="3">
        <v>103.4825</v>
      </c>
      <c r="D64" s="3">
        <v>24.105</v>
      </c>
    </row>
    <row r="65" spans="1:11" x14ac:dyDescent="0.45">
      <c r="A65" s="1">
        <v>78</v>
      </c>
      <c r="B65" s="31">
        <v>10</v>
      </c>
      <c r="C65" s="3">
        <v>18.079999999999998</v>
      </c>
      <c r="D65" s="3">
        <v>14.25</v>
      </c>
    </row>
    <row r="66" spans="1:11" x14ac:dyDescent="0.45">
      <c r="A66" s="1">
        <v>79</v>
      </c>
      <c r="B66" s="31">
        <v>10</v>
      </c>
      <c r="C66" s="3">
        <v>20.1525</v>
      </c>
      <c r="D66" s="3">
        <v>25.45</v>
      </c>
    </row>
    <row r="67" spans="1:11" x14ac:dyDescent="0.45">
      <c r="A67" s="1">
        <v>80</v>
      </c>
      <c r="B67" s="31">
        <v>10</v>
      </c>
      <c r="C67" s="3">
        <v>97.457499999999996</v>
      </c>
      <c r="D67" s="3">
        <v>53.227499999999999</v>
      </c>
    </row>
    <row r="68" spans="1:11" x14ac:dyDescent="0.45">
      <c r="A68" s="1">
        <v>81</v>
      </c>
      <c r="B68" s="31">
        <v>10</v>
      </c>
      <c r="C68" s="3">
        <v>0</v>
      </c>
      <c r="D68" s="3">
        <v>27.4925</v>
      </c>
    </row>
    <row r="69" spans="1:11" x14ac:dyDescent="0.45">
      <c r="A69" s="1">
        <v>82</v>
      </c>
      <c r="B69" s="31">
        <v>10</v>
      </c>
      <c r="C69" s="3">
        <v>0</v>
      </c>
      <c r="D69" s="3">
        <v>206.155</v>
      </c>
    </row>
    <row r="70" spans="1:11" x14ac:dyDescent="0.45">
      <c r="A70" s="1">
        <v>69</v>
      </c>
      <c r="B70" s="35">
        <v>11</v>
      </c>
      <c r="C70" s="3">
        <v>86.265000000000001</v>
      </c>
      <c r="D70" s="3">
        <v>0</v>
      </c>
      <c r="G70" s="3">
        <f>SUM(C70:C86)</f>
        <v>727.9525000000001</v>
      </c>
      <c r="H70">
        <v>1.3</v>
      </c>
      <c r="I70">
        <f>G70*H70</f>
        <v>946.33825000000013</v>
      </c>
      <c r="J70" s="16">
        <v>0.3</v>
      </c>
      <c r="K70">
        <f>I70*(1-J70)</f>
        <v>662.43677500000001</v>
      </c>
    </row>
    <row r="71" spans="1:11" x14ac:dyDescent="0.45">
      <c r="A71" s="1">
        <v>71</v>
      </c>
      <c r="B71" s="35">
        <v>11</v>
      </c>
      <c r="C71" s="3">
        <v>0</v>
      </c>
      <c r="D71" s="3">
        <v>0</v>
      </c>
    </row>
    <row r="72" spans="1:11" x14ac:dyDescent="0.45">
      <c r="A72" s="1">
        <v>87</v>
      </c>
      <c r="B72" s="35">
        <v>11</v>
      </c>
      <c r="C72" s="3">
        <v>21.204999999999998</v>
      </c>
      <c r="D72" s="3">
        <v>58.237499999999997</v>
      </c>
    </row>
    <row r="73" spans="1:11" x14ac:dyDescent="0.45">
      <c r="A73" s="1">
        <v>88</v>
      </c>
      <c r="B73" s="35">
        <v>11</v>
      </c>
      <c r="C73" s="3">
        <v>69.905000000000001</v>
      </c>
      <c r="D73" s="3">
        <v>14.952500000000001</v>
      </c>
    </row>
    <row r="74" spans="1:11" x14ac:dyDescent="0.45">
      <c r="A74" s="1">
        <v>89</v>
      </c>
      <c r="B74" s="35">
        <v>11</v>
      </c>
      <c r="C74" s="3">
        <v>305.92500000000001</v>
      </c>
      <c r="D74" s="3">
        <v>19.954999999999998</v>
      </c>
    </row>
    <row r="75" spans="1:11" x14ac:dyDescent="0.45">
      <c r="A75" s="1">
        <v>90</v>
      </c>
      <c r="B75" s="35">
        <v>11</v>
      </c>
      <c r="C75" s="3">
        <v>60.55</v>
      </c>
      <c r="D75" s="3">
        <v>5.7625000000000002</v>
      </c>
    </row>
    <row r="76" spans="1:11" x14ac:dyDescent="0.45">
      <c r="A76" s="1">
        <v>91</v>
      </c>
      <c r="B76" s="35">
        <v>11</v>
      </c>
      <c r="C76" s="3">
        <v>50.704999999999998</v>
      </c>
      <c r="D76" s="3">
        <v>7.2024999999999997</v>
      </c>
    </row>
    <row r="77" spans="1:11" x14ac:dyDescent="0.45">
      <c r="A77" s="1">
        <v>92</v>
      </c>
      <c r="B77" s="35">
        <v>11</v>
      </c>
      <c r="C77" s="3">
        <v>12.137499999999999</v>
      </c>
      <c r="D77" s="3">
        <v>9.0749999999999993</v>
      </c>
    </row>
    <row r="78" spans="1:11" x14ac:dyDescent="0.45">
      <c r="A78" s="1">
        <v>93</v>
      </c>
      <c r="B78" s="35">
        <v>11</v>
      </c>
      <c r="C78" s="3">
        <v>5.9249999999999998</v>
      </c>
      <c r="D78" s="3">
        <v>56.142499999999998</v>
      </c>
    </row>
    <row r="79" spans="1:11" x14ac:dyDescent="0.45">
      <c r="A79" s="1">
        <v>94</v>
      </c>
      <c r="B79" s="35">
        <v>11</v>
      </c>
      <c r="C79" s="3">
        <v>56.354999999999997</v>
      </c>
      <c r="D79" s="3">
        <v>33.134999999999998</v>
      </c>
    </row>
    <row r="80" spans="1:11" x14ac:dyDescent="0.45">
      <c r="A80" s="1">
        <v>74</v>
      </c>
      <c r="B80" s="35">
        <v>11</v>
      </c>
      <c r="C80" s="3">
        <v>14.035</v>
      </c>
      <c r="D80" s="3">
        <v>18.9175</v>
      </c>
    </row>
    <row r="81" spans="1:11" x14ac:dyDescent="0.45">
      <c r="A81" s="1">
        <v>95</v>
      </c>
      <c r="B81" s="35">
        <v>11</v>
      </c>
      <c r="C81" s="3">
        <v>30.28</v>
      </c>
      <c r="D81" s="3">
        <v>65.447500000000005</v>
      </c>
    </row>
    <row r="82" spans="1:11" x14ac:dyDescent="0.45">
      <c r="A82" s="1">
        <v>96</v>
      </c>
      <c r="B82" s="35">
        <v>11</v>
      </c>
      <c r="C82" s="3">
        <v>7.3875000000000002</v>
      </c>
      <c r="D82" s="3">
        <v>11.52</v>
      </c>
    </row>
    <row r="83" spans="1:11" x14ac:dyDescent="0.45">
      <c r="A83" s="1">
        <v>97</v>
      </c>
      <c r="B83" s="35">
        <v>11</v>
      </c>
      <c r="C83" s="3">
        <v>0</v>
      </c>
      <c r="D83" s="3">
        <v>9.9824999999999999</v>
      </c>
    </row>
    <row r="84" spans="1:11" x14ac:dyDescent="0.45">
      <c r="A84" s="1">
        <v>98</v>
      </c>
      <c r="B84" s="35">
        <v>11</v>
      </c>
      <c r="C84" s="3">
        <v>7.2774999999999999</v>
      </c>
      <c r="D84" s="3">
        <v>8.2249999999999996</v>
      </c>
    </row>
    <row r="85" spans="1:11" x14ac:dyDescent="0.45">
      <c r="A85" s="1">
        <v>68</v>
      </c>
      <c r="B85" s="35">
        <v>11</v>
      </c>
      <c r="C85" s="3">
        <v>0</v>
      </c>
      <c r="D85" s="3">
        <v>322.88260000000002</v>
      </c>
    </row>
    <row r="86" spans="1:11" x14ac:dyDescent="0.45">
      <c r="A86" s="1">
        <v>66</v>
      </c>
      <c r="B86" s="35">
        <v>11</v>
      </c>
      <c r="C86" s="3">
        <v>0</v>
      </c>
      <c r="D86" s="3">
        <v>86.515000000000001</v>
      </c>
    </row>
    <row r="87" spans="1:11" x14ac:dyDescent="0.45">
      <c r="A87" s="1">
        <v>99</v>
      </c>
      <c r="B87" s="1">
        <v>12</v>
      </c>
      <c r="C87" s="3">
        <v>162.42750000000001</v>
      </c>
      <c r="D87" s="3">
        <v>0</v>
      </c>
      <c r="G87" s="3">
        <f>SUM(C87:C108)</f>
        <v>482.90749999999997</v>
      </c>
      <c r="H87">
        <v>1.3</v>
      </c>
      <c r="I87">
        <f>G87*H87</f>
        <v>627.77975000000004</v>
      </c>
      <c r="J87" s="16">
        <v>0.3</v>
      </c>
      <c r="K87">
        <f>I87*(1-J87)</f>
        <v>439.44582500000001</v>
      </c>
    </row>
    <row r="88" spans="1:11" x14ac:dyDescent="0.45">
      <c r="A88" s="1">
        <v>119</v>
      </c>
      <c r="B88" s="1">
        <v>12</v>
      </c>
      <c r="C88" s="3">
        <v>104.4575</v>
      </c>
      <c r="D88" s="3">
        <v>0</v>
      </c>
    </row>
    <row r="89" spans="1:11" x14ac:dyDescent="0.45">
      <c r="A89" s="1">
        <v>120</v>
      </c>
      <c r="B89" s="1">
        <v>12</v>
      </c>
      <c r="C89" s="3">
        <v>90.302499999999995</v>
      </c>
      <c r="D89" s="3">
        <v>2.4</v>
      </c>
    </row>
    <row r="90" spans="1:11" x14ac:dyDescent="0.45">
      <c r="A90" s="1">
        <v>121</v>
      </c>
      <c r="B90" s="1">
        <v>12</v>
      </c>
      <c r="C90" s="3">
        <v>18.739999999999998</v>
      </c>
      <c r="D90" s="3">
        <v>4.3</v>
      </c>
    </row>
    <row r="91" spans="1:11" x14ac:dyDescent="0.45">
      <c r="A91" s="1">
        <v>100</v>
      </c>
      <c r="B91" s="1">
        <v>12</v>
      </c>
      <c r="C91" s="3">
        <v>0</v>
      </c>
      <c r="D91" s="3">
        <v>27.245000000000001</v>
      </c>
    </row>
    <row r="92" spans="1:11" x14ac:dyDescent="0.45">
      <c r="A92" s="1">
        <v>122</v>
      </c>
      <c r="B92" s="1">
        <v>12</v>
      </c>
      <c r="C92" s="3">
        <v>0</v>
      </c>
      <c r="D92" s="3">
        <v>0</v>
      </c>
    </row>
    <row r="93" spans="1:11" x14ac:dyDescent="0.45">
      <c r="A93" s="1">
        <v>101</v>
      </c>
      <c r="B93" s="1">
        <v>12</v>
      </c>
      <c r="C93" s="3">
        <v>0</v>
      </c>
      <c r="D93" s="3">
        <v>2.0024999999999999</v>
      </c>
    </row>
    <row r="94" spans="1:11" x14ac:dyDescent="0.45">
      <c r="A94" s="1">
        <v>123</v>
      </c>
      <c r="B94" s="1">
        <v>12</v>
      </c>
      <c r="C94" s="3">
        <v>0</v>
      </c>
      <c r="D94" s="3">
        <v>0</v>
      </c>
    </row>
    <row r="95" spans="1:11" x14ac:dyDescent="0.45">
      <c r="A95" s="1">
        <v>124</v>
      </c>
      <c r="B95" s="1">
        <v>12</v>
      </c>
      <c r="C95" s="3">
        <v>0</v>
      </c>
      <c r="D95" s="3">
        <v>205.3475</v>
      </c>
    </row>
    <row r="96" spans="1:11" x14ac:dyDescent="0.45">
      <c r="A96" s="1">
        <v>114</v>
      </c>
      <c r="B96" s="1">
        <v>12</v>
      </c>
      <c r="C96" s="3">
        <v>0</v>
      </c>
      <c r="D96" s="3">
        <v>42.494999999999997</v>
      </c>
    </row>
    <row r="97" spans="1:11" x14ac:dyDescent="0.45">
      <c r="A97" s="1">
        <v>104</v>
      </c>
      <c r="B97" s="1">
        <v>12</v>
      </c>
      <c r="C97" s="3">
        <v>0</v>
      </c>
      <c r="D97" s="3">
        <v>52.6175</v>
      </c>
    </row>
    <row r="98" spans="1:11" x14ac:dyDescent="0.45">
      <c r="A98" s="1">
        <v>113</v>
      </c>
      <c r="B98" s="1">
        <v>12</v>
      </c>
      <c r="C98" s="3">
        <v>0</v>
      </c>
      <c r="D98" s="3">
        <v>39.520000000000003</v>
      </c>
    </row>
    <row r="99" spans="1:11" x14ac:dyDescent="0.45">
      <c r="A99" s="1">
        <v>128</v>
      </c>
      <c r="B99" s="1">
        <v>13</v>
      </c>
      <c r="C99" s="3">
        <v>9.9525000000000006</v>
      </c>
      <c r="D99" s="3">
        <v>0</v>
      </c>
      <c r="G99" s="3">
        <f>SUM(C99:C108)</f>
        <v>106.98</v>
      </c>
      <c r="H99">
        <v>1.3</v>
      </c>
      <c r="I99">
        <f>G99*H99</f>
        <v>139.07400000000001</v>
      </c>
      <c r="J99" s="16">
        <v>0.3</v>
      </c>
      <c r="K99">
        <f>I99*(1-J99)</f>
        <v>97.351799999999997</v>
      </c>
    </row>
    <row r="100" spans="1:11" x14ac:dyDescent="0.45">
      <c r="A100" s="1">
        <v>110</v>
      </c>
      <c r="B100" s="1">
        <v>13</v>
      </c>
      <c r="C100" s="3">
        <v>33.462499999999999</v>
      </c>
      <c r="D100" s="3">
        <v>0</v>
      </c>
    </row>
    <row r="101" spans="1:11" x14ac:dyDescent="0.45">
      <c r="A101" s="1">
        <v>111</v>
      </c>
      <c r="B101" s="1">
        <v>13</v>
      </c>
      <c r="C101" s="3">
        <v>0</v>
      </c>
      <c r="D101" s="3">
        <v>0</v>
      </c>
    </row>
    <row r="102" spans="1:11" x14ac:dyDescent="0.45">
      <c r="A102" s="1">
        <v>108</v>
      </c>
      <c r="B102" s="1">
        <v>13</v>
      </c>
      <c r="C102" s="3">
        <v>1.7124999999999999</v>
      </c>
      <c r="D102" s="3">
        <v>0</v>
      </c>
    </row>
    <row r="103" spans="1:11" x14ac:dyDescent="0.45">
      <c r="A103" s="1">
        <v>107</v>
      </c>
      <c r="B103" s="1">
        <v>13</v>
      </c>
      <c r="C103" s="3">
        <v>0</v>
      </c>
      <c r="D103" s="3">
        <v>0</v>
      </c>
    </row>
    <row r="104" spans="1:11" x14ac:dyDescent="0.45">
      <c r="A104" s="1">
        <v>106</v>
      </c>
      <c r="B104" s="1">
        <v>13</v>
      </c>
      <c r="C104" s="3">
        <v>23</v>
      </c>
      <c r="D104" s="3">
        <v>0.44750000000000001</v>
      </c>
    </row>
    <row r="105" spans="1:11" x14ac:dyDescent="0.45">
      <c r="A105" s="1">
        <v>129</v>
      </c>
      <c r="B105" s="1">
        <v>13</v>
      </c>
      <c r="C105" s="3">
        <v>13.1875</v>
      </c>
      <c r="D105" s="3">
        <v>4.82</v>
      </c>
    </row>
    <row r="106" spans="1:11" x14ac:dyDescent="0.45">
      <c r="A106" s="1">
        <v>130</v>
      </c>
      <c r="B106" s="1">
        <v>13</v>
      </c>
      <c r="C106" s="3">
        <v>18.684999999999999</v>
      </c>
      <c r="D106" s="3">
        <v>1.3125</v>
      </c>
    </row>
    <row r="107" spans="1:11" x14ac:dyDescent="0.45">
      <c r="A107" s="1">
        <v>131</v>
      </c>
      <c r="B107" s="1">
        <v>13</v>
      </c>
      <c r="C107" s="3">
        <v>6.98</v>
      </c>
      <c r="D107" s="3">
        <v>3.05</v>
      </c>
    </row>
    <row r="108" spans="1:11" x14ac:dyDescent="0.45">
      <c r="A108" s="1">
        <v>132</v>
      </c>
      <c r="B108" s="1">
        <v>13</v>
      </c>
      <c r="C108" s="3">
        <v>0</v>
      </c>
      <c r="D108" s="3">
        <v>97.35</v>
      </c>
    </row>
    <row r="109" spans="1:11" x14ac:dyDescent="0.45">
      <c r="A109" s="1">
        <v>134</v>
      </c>
      <c r="B109" s="1">
        <v>14</v>
      </c>
      <c r="C109" s="3">
        <v>30.35</v>
      </c>
      <c r="D109" s="3">
        <v>0</v>
      </c>
    </row>
    <row r="110" spans="1:11" x14ac:dyDescent="0.45">
      <c r="A110" s="1">
        <v>133</v>
      </c>
      <c r="B110" s="1">
        <v>14</v>
      </c>
      <c r="C110" s="3">
        <v>22.142499999999998</v>
      </c>
      <c r="D110" s="3">
        <v>0</v>
      </c>
    </row>
    <row r="111" spans="1:11" x14ac:dyDescent="0.45">
      <c r="A111" s="1">
        <v>135</v>
      </c>
      <c r="B111" s="1">
        <v>14</v>
      </c>
      <c r="C111" s="3">
        <v>314.83749999999998</v>
      </c>
      <c r="D111" s="3">
        <v>2.4700000000000002</v>
      </c>
    </row>
    <row r="112" spans="1:11" x14ac:dyDescent="0.45">
      <c r="A112" s="1">
        <v>149</v>
      </c>
      <c r="B112" s="1">
        <v>14</v>
      </c>
      <c r="C112" s="3">
        <v>0</v>
      </c>
      <c r="D112" s="3">
        <v>93.842500000000001</v>
      </c>
    </row>
    <row r="113" spans="1:4" x14ac:dyDescent="0.45">
      <c r="A113" s="1">
        <v>150</v>
      </c>
      <c r="B113" s="1">
        <v>14</v>
      </c>
      <c r="C113" s="3">
        <v>16.3675</v>
      </c>
      <c r="D113" s="3">
        <v>30.012499999999999</v>
      </c>
    </row>
    <row r="114" spans="1:4" x14ac:dyDescent="0.45">
      <c r="A114" s="1">
        <v>151</v>
      </c>
      <c r="B114" s="1">
        <v>14</v>
      </c>
      <c r="C114" s="3">
        <v>73.152500000000003</v>
      </c>
      <c r="D114" s="3">
        <v>173.36250000000001</v>
      </c>
    </row>
    <row r="115" spans="1:4" x14ac:dyDescent="0.45">
      <c r="A115" s="1">
        <v>152</v>
      </c>
      <c r="B115" s="1">
        <v>14</v>
      </c>
      <c r="C115" s="3">
        <v>49.322499999999998</v>
      </c>
      <c r="D115" s="3">
        <v>29.107500000000002</v>
      </c>
    </row>
    <row r="116" spans="1:4" x14ac:dyDescent="0.45">
      <c r="A116" s="1">
        <v>153</v>
      </c>
      <c r="B116" s="1">
        <v>14</v>
      </c>
      <c r="C116" s="3">
        <v>18.877500000000001</v>
      </c>
      <c r="D116" s="3">
        <v>9.6950000000000003</v>
      </c>
    </row>
    <row r="117" spans="1:4" x14ac:dyDescent="0.45">
      <c r="A117" s="1">
        <v>154</v>
      </c>
      <c r="B117" s="1">
        <v>14</v>
      </c>
      <c r="C117" s="3">
        <v>9.2850000000000001</v>
      </c>
      <c r="D117" s="3">
        <v>122.8325</v>
      </c>
    </row>
    <row r="118" spans="1:4" x14ac:dyDescent="0.45">
      <c r="A118" s="1">
        <v>137</v>
      </c>
      <c r="B118" s="1">
        <v>14</v>
      </c>
      <c r="C118" s="3">
        <v>36.402500000000003</v>
      </c>
      <c r="D118" s="3">
        <v>26.752500000000001</v>
      </c>
    </row>
    <row r="119" spans="1:4" x14ac:dyDescent="0.45">
      <c r="A119" s="1">
        <v>138</v>
      </c>
      <c r="B119" s="1">
        <v>14</v>
      </c>
      <c r="C119" s="3">
        <v>68.952500000000001</v>
      </c>
      <c r="D119" s="3">
        <v>1.44</v>
      </c>
    </row>
    <row r="120" spans="1:4" x14ac:dyDescent="0.45">
      <c r="A120" s="1">
        <v>139</v>
      </c>
      <c r="B120" s="1">
        <v>14</v>
      </c>
      <c r="C120" s="3">
        <v>23.74</v>
      </c>
      <c r="D120" s="3">
        <v>10.815</v>
      </c>
    </row>
    <row r="121" spans="1:4" x14ac:dyDescent="0.45">
      <c r="A121" s="1">
        <v>141</v>
      </c>
      <c r="B121" s="1">
        <v>14</v>
      </c>
      <c r="C121" s="3">
        <v>10.125</v>
      </c>
      <c r="D121" s="3">
        <v>22.18</v>
      </c>
    </row>
    <row r="122" spans="1:4" x14ac:dyDescent="0.45">
      <c r="A122" s="1">
        <v>142</v>
      </c>
      <c r="B122" s="1">
        <v>14</v>
      </c>
      <c r="C122" s="3">
        <v>6.66</v>
      </c>
      <c r="D122" s="3">
        <v>5.9175000000000004</v>
      </c>
    </row>
    <row r="123" spans="1:4" x14ac:dyDescent="0.45">
      <c r="A123" s="1">
        <v>147</v>
      </c>
      <c r="B123" s="1">
        <v>14</v>
      </c>
      <c r="C123" s="3">
        <v>0</v>
      </c>
      <c r="D123" s="3">
        <v>79.982500000000002</v>
      </c>
    </row>
    <row r="124" spans="1:4" x14ac:dyDescent="0.45">
      <c r="A124" s="1">
        <v>148</v>
      </c>
      <c r="B124" s="1">
        <v>14</v>
      </c>
      <c r="C124" s="3">
        <v>0</v>
      </c>
      <c r="D124" s="3">
        <v>71.805000000000007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11D2-0442-4FE0-AF30-F3A84EF76AA3}">
  <dimension ref="A1:N228"/>
  <sheetViews>
    <sheetView workbookViewId="0"/>
  </sheetViews>
  <sheetFormatPr defaultRowHeight="14.25" x14ac:dyDescent="0.45"/>
  <cols>
    <col min="1" max="1" width="10.59765625" style="1" customWidth="1"/>
    <col min="2" max="2" width="10.59765625" style="2" customWidth="1"/>
    <col min="3" max="3" width="2.59765625" style="1" customWidth="1"/>
    <col min="4" max="4" width="8.59765625" style="1" customWidth="1"/>
    <col min="5" max="5" width="16.59765625" style="1" customWidth="1"/>
    <col min="6" max="6" width="8.59765625" style="1" customWidth="1"/>
    <col min="7" max="10" width="10.59765625" style="2" customWidth="1"/>
    <col min="11" max="11" width="10.59765625" style="1" customWidth="1"/>
    <col min="12" max="14" width="15.59765625" style="3" customWidth="1"/>
  </cols>
  <sheetData>
    <row r="1" spans="1:14" x14ac:dyDescent="0.45">
      <c r="A1" s="1" t="s">
        <v>49</v>
      </c>
      <c r="B1" s="2" t="s">
        <v>48</v>
      </c>
      <c r="C1" s="1" t="s">
        <v>47</v>
      </c>
      <c r="D1" s="1" t="s">
        <v>46</v>
      </c>
      <c r="E1" s="1" t="s">
        <v>45</v>
      </c>
      <c r="F1" s="1" t="s">
        <v>44</v>
      </c>
      <c r="G1" s="2" t="s">
        <v>43</v>
      </c>
      <c r="H1" s="2" t="s">
        <v>42</v>
      </c>
      <c r="I1" s="2" t="s">
        <v>41</v>
      </c>
      <c r="J1" s="2" t="s">
        <v>40</v>
      </c>
      <c r="K1" s="1" t="s">
        <v>39</v>
      </c>
      <c r="L1" s="3" t="s">
        <v>38</v>
      </c>
      <c r="M1" s="3" t="s">
        <v>37</v>
      </c>
      <c r="N1" s="3" t="s">
        <v>36</v>
      </c>
    </row>
    <row r="2" spans="1:14" x14ac:dyDescent="0.45">
      <c r="A2" s="1">
        <v>90</v>
      </c>
      <c r="B2" s="2">
        <v>0.36</v>
      </c>
      <c r="C2" s="1">
        <v>0</v>
      </c>
      <c r="D2" s="1">
        <v>1</v>
      </c>
      <c r="E2" s="1" t="s">
        <v>33</v>
      </c>
      <c r="G2" s="2">
        <v>0.36</v>
      </c>
      <c r="H2" s="2">
        <v>5.98</v>
      </c>
      <c r="I2" s="2">
        <v>1.02</v>
      </c>
      <c r="J2" s="2">
        <v>0.61</v>
      </c>
      <c r="K2" s="1">
        <v>90</v>
      </c>
      <c r="L2" s="3">
        <v>31.162500000000001</v>
      </c>
      <c r="M2" s="3">
        <v>5.0075000000000003</v>
      </c>
      <c r="N2" s="3">
        <v>36.17</v>
      </c>
    </row>
    <row r="3" spans="1:14" x14ac:dyDescent="0.45">
      <c r="A3" s="1">
        <v>904031</v>
      </c>
      <c r="B3" s="2">
        <v>0.15</v>
      </c>
      <c r="C3" s="1">
        <v>1</v>
      </c>
      <c r="D3" s="1">
        <v>1</v>
      </c>
      <c r="E3" s="1" t="s">
        <v>33</v>
      </c>
      <c r="G3" s="2">
        <v>0.15</v>
      </c>
      <c r="H3" s="2">
        <v>2.4900000000000002</v>
      </c>
      <c r="I3" s="2">
        <v>0.25</v>
      </c>
      <c r="K3" s="1">
        <v>904031</v>
      </c>
      <c r="L3" s="3">
        <v>49.445</v>
      </c>
      <c r="M3" s="3">
        <v>21.63</v>
      </c>
      <c r="N3" s="3">
        <v>71.075000000000003</v>
      </c>
    </row>
    <row r="4" spans="1:14" x14ac:dyDescent="0.45">
      <c r="A4" s="1">
        <v>903995</v>
      </c>
      <c r="B4" s="2">
        <v>0.28999999999999998</v>
      </c>
      <c r="C4" s="1">
        <v>0</v>
      </c>
      <c r="D4" s="1">
        <v>1</v>
      </c>
      <c r="E4" s="1" t="s">
        <v>33</v>
      </c>
      <c r="G4" s="2">
        <v>0.28999999999999998</v>
      </c>
      <c r="H4" s="2">
        <v>4.79</v>
      </c>
      <c r="I4" s="2">
        <v>0.93</v>
      </c>
      <c r="J4" s="2">
        <v>1.34</v>
      </c>
      <c r="K4" s="1">
        <v>903995</v>
      </c>
      <c r="L4" s="3">
        <v>27.285</v>
      </c>
      <c r="M4" s="3">
        <v>2.02</v>
      </c>
      <c r="N4" s="3">
        <v>29.305</v>
      </c>
    </row>
    <row r="5" spans="1:14" x14ac:dyDescent="0.45">
      <c r="A5" s="1">
        <v>1437</v>
      </c>
      <c r="B5" s="2">
        <v>0.64</v>
      </c>
      <c r="C5" s="1">
        <v>0</v>
      </c>
      <c r="D5" s="1">
        <v>1</v>
      </c>
      <c r="E5" s="1" t="s">
        <v>33</v>
      </c>
      <c r="G5" s="2">
        <v>0.64</v>
      </c>
      <c r="H5" s="2">
        <v>10.72</v>
      </c>
      <c r="I5" s="2">
        <v>8.1</v>
      </c>
      <c r="J5" s="2">
        <v>1.29</v>
      </c>
      <c r="K5" s="1">
        <v>1437</v>
      </c>
      <c r="L5" s="3">
        <v>144.4725</v>
      </c>
      <c r="M5" s="3">
        <v>6.2275</v>
      </c>
      <c r="N5" s="3">
        <v>150.69999999999999</v>
      </c>
    </row>
    <row r="6" spans="1:14" x14ac:dyDescent="0.45">
      <c r="A6" s="1">
        <v>1465</v>
      </c>
      <c r="B6" s="2">
        <v>0.35</v>
      </c>
      <c r="C6" s="1">
        <v>1</v>
      </c>
      <c r="D6" s="1">
        <v>1</v>
      </c>
      <c r="E6" s="1" t="s">
        <v>33</v>
      </c>
      <c r="G6" s="2">
        <v>0.35</v>
      </c>
      <c r="H6" s="2">
        <v>5.88</v>
      </c>
      <c r="I6" s="2">
        <v>0.4</v>
      </c>
      <c r="K6" s="1">
        <v>1465</v>
      </c>
      <c r="L6" s="3">
        <v>3.2075</v>
      </c>
      <c r="M6" s="3">
        <v>4.5374999999999996</v>
      </c>
      <c r="N6" s="3">
        <v>7.7450000000000001</v>
      </c>
    </row>
    <row r="7" spans="1:14" x14ac:dyDescent="0.45">
      <c r="A7" s="1">
        <v>904068</v>
      </c>
      <c r="B7" s="2">
        <v>7.0000000000000007E-2</v>
      </c>
      <c r="C7" s="1">
        <v>0</v>
      </c>
      <c r="D7" s="1">
        <v>0</v>
      </c>
      <c r="E7" s="1" t="s">
        <v>34</v>
      </c>
      <c r="F7" s="1">
        <v>36</v>
      </c>
      <c r="G7" s="2">
        <v>0.1</v>
      </c>
      <c r="H7" s="2">
        <v>1.62</v>
      </c>
      <c r="I7" s="2">
        <v>0.23</v>
      </c>
      <c r="J7" s="2">
        <v>0.23</v>
      </c>
      <c r="K7" s="1">
        <v>904068</v>
      </c>
      <c r="L7" s="3">
        <v>169.91</v>
      </c>
      <c r="M7" s="3">
        <v>1.01</v>
      </c>
      <c r="N7" s="3">
        <v>170.92</v>
      </c>
    </row>
    <row r="8" spans="1:14" x14ac:dyDescent="0.45">
      <c r="A8" s="1">
        <v>2055</v>
      </c>
      <c r="B8" s="2">
        <v>0.32</v>
      </c>
      <c r="C8" s="1">
        <v>1</v>
      </c>
      <c r="D8" s="1">
        <v>1</v>
      </c>
      <c r="E8" s="1" t="s">
        <v>33</v>
      </c>
      <c r="G8" s="2">
        <v>0.32</v>
      </c>
      <c r="H8" s="2">
        <v>5.28</v>
      </c>
      <c r="I8" s="2">
        <v>0.9</v>
      </c>
      <c r="K8" s="1">
        <v>2055</v>
      </c>
      <c r="L8" s="3">
        <v>3.4049999999999998</v>
      </c>
      <c r="M8" s="3">
        <v>17.577500000000001</v>
      </c>
      <c r="N8" s="3">
        <v>20.982500000000002</v>
      </c>
    </row>
    <row r="9" spans="1:14" x14ac:dyDescent="0.45">
      <c r="A9" s="1">
        <v>904082</v>
      </c>
      <c r="B9" s="2">
        <v>1.31</v>
      </c>
      <c r="C9" s="1">
        <v>0</v>
      </c>
      <c r="D9" s="1">
        <v>5</v>
      </c>
      <c r="E9" s="1" t="s">
        <v>32</v>
      </c>
      <c r="G9" s="2">
        <v>1.31</v>
      </c>
      <c r="H9" s="2">
        <v>99999</v>
      </c>
      <c r="I9" s="2">
        <v>1.57</v>
      </c>
      <c r="J9" s="2">
        <v>1.57</v>
      </c>
      <c r="K9" s="1">
        <v>904082</v>
      </c>
      <c r="L9" s="3">
        <v>0</v>
      </c>
      <c r="M9" s="3">
        <v>0</v>
      </c>
      <c r="N9" s="3">
        <v>0</v>
      </c>
    </row>
    <row r="10" spans="1:14" x14ac:dyDescent="0.45">
      <c r="A10" s="1">
        <v>2087</v>
      </c>
      <c r="B10" s="2">
        <v>0.16</v>
      </c>
      <c r="C10" s="1">
        <v>1</v>
      </c>
      <c r="D10" s="1">
        <v>1</v>
      </c>
      <c r="E10" s="1" t="s">
        <v>33</v>
      </c>
      <c r="G10" s="2">
        <v>0.16</v>
      </c>
      <c r="H10" s="2">
        <v>2.64</v>
      </c>
      <c r="I10" s="2">
        <v>1.9</v>
      </c>
      <c r="K10" s="1">
        <v>2087</v>
      </c>
      <c r="L10" s="3">
        <v>50.702500000000001</v>
      </c>
      <c r="M10" s="3">
        <v>12.185</v>
      </c>
      <c r="N10" s="3">
        <v>62.887500000000003</v>
      </c>
    </row>
    <row r="11" spans="1:14" x14ac:dyDescent="0.45">
      <c r="A11" s="1">
        <v>2088</v>
      </c>
      <c r="B11" s="2">
        <v>0.11</v>
      </c>
      <c r="C11" s="1">
        <v>1</v>
      </c>
      <c r="D11" s="1">
        <v>1</v>
      </c>
      <c r="E11" s="1" t="s">
        <v>33</v>
      </c>
      <c r="G11" s="2">
        <v>0.11</v>
      </c>
      <c r="H11" s="2">
        <v>1.86</v>
      </c>
      <c r="I11" s="2">
        <v>0.18</v>
      </c>
      <c r="K11" s="1">
        <v>2088</v>
      </c>
      <c r="L11" s="3">
        <v>42.86</v>
      </c>
      <c r="M11" s="3">
        <v>5.6275000000000004</v>
      </c>
      <c r="N11" s="3">
        <v>48.487499999999997</v>
      </c>
    </row>
    <row r="12" spans="1:14" x14ac:dyDescent="0.45">
      <c r="A12" s="1">
        <v>904028</v>
      </c>
      <c r="B12" s="2">
        <v>0.37</v>
      </c>
      <c r="C12" s="1">
        <v>0</v>
      </c>
      <c r="D12" s="1">
        <v>1</v>
      </c>
      <c r="E12" s="1" t="s">
        <v>33</v>
      </c>
      <c r="G12" s="2">
        <v>0.37</v>
      </c>
      <c r="H12" s="2">
        <v>6.17</v>
      </c>
      <c r="I12" s="2">
        <v>0.63</v>
      </c>
      <c r="J12" s="2">
        <v>0.66</v>
      </c>
      <c r="K12" s="1">
        <v>904028</v>
      </c>
      <c r="L12" s="3">
        <v>1.01</v>
      </c>
      <c r="M12" s="3">
        <v>169.91</v>
      </c>
      <c r="N12" s="3">
        <v>170.92</v>
      </c>
    </row>
    <row r="13" spans="1:14" x14ac:dyDescent="0.45">
      <c r="A13" s="1">
        <v>904065</v>
      </c>
      <c r="B13" s="2">
        <v>0.1</v>
      </c>
      <c r="C13" s="1">
        <v>0</v>
      </c>
      <c r="D13" s="1">
        <v>0</v>
      </c>
      <c r="E13" s="1" t="s">
        <v>34</v>
      </c>
      <c r="F13" s="1">
        <v>145</v>
      </c>
      <c r="G13" s="2">
        <v>0.11</v>
      </c>
      <c r="H13" s="2">
        <v>1.76</v>
      </c>
      <c r="I13" s="2">
        <v>0.25</v>
      </c>
      <c r="J13" s="2">
        <v>0.25</v>
      </c>
      <c r="K13" s="1">
        <v>904065</v>
      </c>
      <c r="L13" s="3">
        <v>18.89</v>
      </c>
      <c r="M13" s="3">
        <v>109.81</v>
      </c>
      <c r="N13" s="3">
        <v>128.69999999999999</v>
      </c>
    </row>
    <row r="14" spans="1:14" x14ac:dyDescent="0.45">
      <c r="A14" s="1">
        <v>4923</v>
      </c>
      <c r="B14" s="2">
        <v>0.25</v>
      </c>
      <c r="C14" s="1">
        <v>1</v>
      </c>
      <c r="D14" s="1">
        <v>1</v>
      </c>
      <c r="E14" s="1" t="s">
        <v>33</v>
      </c>
      <c r="G14" s="2">
        <v>0.25</v>
      </c>
      <c r="H14" s="2">
        <v>4.25</v>
      </c>
      <c r="I14" s="2">
        <v>1.91</v>
      </c>
      <c r="K14" s="1">
        <v>4923</v>
      </c>
      <c r="L14" s="3">
        <v>22.317499999999999</v>
      </c>
      <c r="M14" s="3">
        <v>33.9</v>
      </c>
      <c r="N14" s="3">
        <v>56.217500000000001</v>
      </c>
    </row>
    <row r="15" spans="1:14" x14ac:dyDescent="0.45">
      <c r="A15" s="1">
        <v>4924</v>
      </c>
      <c r="B15" s="2">
        <v>7.0000000000000007E-2</v>
      </c>
      <c r="C15" s="1">
        <v>1</v>
      </c>
      <c r="D15" s="1">
        <v>1</v>
      </c>
      <c r="E15" s="1" t="s">
        <v>33</v>
      </c>
      <c r="G15" s="2">
        <v>7.0000000000000007E-2</v>
      </c>
      <c r="H15" s="2">
        <v>1.1299999999999999</v>
      </c>
      <c r="I15" s="2">
        <v>0.16</v>
      </c>
      <c r="K15" s="1">
        <v>4924</v>
      </c>
      <c r="L15" s="3">
        <v>23.57</v>
      </c>
      <c r="M15" s="3">
        <v>7.9024999999999999</v>
      </c>
      <c r="N15" s="3">
        <v>31.4725</v>
      </c>
    </row>
    <row r="16" spans="1:14" x14ac:dyDescent="0.45">
      <c r="A16" s="1">
        <v>4925</v>
      </c>
      <c r="B16" s="2">
        <v>0.02</v>
      </c>
      <c r="C16" s="1">
        <v>1</v>
      </c>
      <c r="D16" s="1">
        <v>1</v>
      </c>
      <c r="E16" s="1" t="s">
        <v>33</v>
      </c>
      <c r="G16" s="2">
        <v>0.02</v>
      </c>
      <c r="H16" s="2">
        <v>0.33</v>
      </c>
      <c r="I16" s="2">
        <v>0.03</v>
      </c>
      <c r="K16" s="1">
        <v>4925</v>
      </c>
      <c r="L16" s="3">
        <v>8.4474999999999998</v>
      </c>
      <c r="M16" s="3">
        <v>46.182499999999997</v>
      </c>
      <c r="N16" s="3">
        <v>54.63</v>
      </c>
    </row>
    <row r="17" spans="1:14" x14ac:dyDescent="0.45">
      <c r="A17" s="1">
        <v>904090</v>
      </c>
      <c r="B17" s="2">
        <v>0.23</v>
      </c>
      <c r="C17" s="1">
        <v>0</v>
      </c>
      <c r="D17" s="1">
        <v>0</v>
      </c>
      <c r="E17" s="1" t="s">
        <v>35</v>
      </c>
      <c r="G17" s="2">
        <v>0.1</v>
      </c>
      <c r="H17" s="2">
        <v>3.8</v>
      </c>
      <c r="I17" s="2">
        <v>0.27</v>
      </c>
      <c r="J17" s="2">
        <v>0.27</v>
      </c>
      <c r="K17" s="1">
        <v>904090</v>
      </c>
      <c r="L17" s="3">
        <v>157.30000000000001</v>
      </c>
      <c r="M17" s="3">
        <v>192.46</v>
      </c>
      <c r="N17" s="3">
        <v>349.76</v>
      </c>
    </row>
    <row r="18" spans="1:14" x14ac:dyDescent="0.45">
      <c r="A18" s="1">
        <v>22654</v>
      </c>
      <c r="B18" s="2">
        <v>0.22</v>
      </c>
      <c r="C18" s="1">
        <v>0</v>
      </c>
      <c r="D18" s="1">
        <v>1</v>
      </c>
      <c r="E18" s="1" t="s">
        <v>33</v>
      </c>
      <c r="G18" s="2">
        <v>0.22</v>
      </c>
      <c r="H18" s="2">
        <v>3.66</v>
      </c>
      <c r="I18" s="2">
        <v>0.77</v>
      </c>
      <c r="J18" s="2">
        <v>2.48</v>
      </c>
      <c r="K18" s="1">
        <v>22654</v>
      </c>
      <c r="L18" s="3">
        <v>3.9550000000000001</v>
      </c>
      <c r="M18" s="3">
        <v>87.084999999999994</v>
      </c>
      <c r="N18" s="3">
        <v>91.04</v>
      </c>
    </row>
    <row r="19" spans="1:14" x14ac:dyDescent="0.45">
      <c r="A19" s="1">
        <v>22656</v>
      </c>
      <c r="B19" s="2">
        <v>0.25</v>
      </c>
      <c r="C19" s="1">
        <v>0</v>
      </c>
      <c r="D19" s="1">
        <v>1</v>
      </c>
      <c r="E19" s="1" t="s">
        <v>33</v>
      </c>
      <c r="G19" s="2">
        <v>0.25</v>
      </c>
      <c r="H19" s="2">
        <v>4.09</v>
      </c>
      <c r="I19" s="2">
        <v>0.55000000000000004</v>
      </c>
      <c r="J19" s="2">
        <v>0.53</v>
      </c>
      <c r="K19" s="1">
        <v>22656</v>
      </c>
      <c r="L19" s="3">
        <v>3.8925000000000001</v>
      </c>
      <c r="M19" s="3">
        <v>9.0574999999999992</v>
      </c>
      <c r="N19" s="3">
        <v>12.95</v>
      </c>
    </row>
    <row r="20" spans="1:14" x14ac:dyDescent="0.45">
      <c r="A20" s="1">
        <v>22661</v>
      </c>
      <c r="B20" s="2">
        <v>0.45</v>
      </c>
      <c r="C20" s="1">
        <v>0</v>
      </c>
      <c r="D20" s="1">
        <v>1</v>
      </c>
      <c r="E20" s="1" t="s">
        <v>33</v>
      </c>
      <c r="G20" s="2">
        <v>0.45</v>
      </c>
      <c r="H20" s="2">
        <v>7.51</v>
      </c>
      <c r="I20" s="2">
        <v>1.41</v>
      </c>
      <c r="J20" s="2">
        <v>0.77</v>
      </c>
      <c r="K20" s="1">
        <v>22661</v>
      </c>
      <c r="L20" s="3">
        <v>1.86</v>
      </c>
      <c r="M20" s="3">
        <v>0.46500000000000002</v>
      </c>
      <c r="N20" s="3">
        <v>2.3250000000000002</v>
      </c>
    </row>
    <row r="21" spans="1:14" x14ac:dyDescent="0.45">
      <c r="A21" s="1">
        <v>903994</v>
      </c>
      <c r="B21" s="2">
        <v>0.02</v>
      </c>
      <c r="C21" s="1">
        <v>1</v>
      </c>
      <c r="D21" s="1">
        <v>1</v>
      </c>
      <c r="E21" s="1" t="s">
        <v>33</v>
      </c>
      <c r="G21" s="2">
        <v>0.02</v>
      </c>
      <c r="H21" s="2">
        <v>0.39</v>
      </c>
      <c r="I21" s="2">
        <v>0.04</v>
      </c>
      <c r="K21" s="1">
        <v>903994</v>
      </c>
      <c r="L21" s="3">
        <v>108.11</v>
      </c>
      <c r="M21" s="3">
        <v>78.015000000000001</v>
      </c>
      <c r="N21" s="3">
        <v>186.125</v>
      </c>
    </row>
    <row r="22" spans="1:14" x14ac:dyDescent="0.45">
      <c r="A22" s="1">
        <v>23853</v>
      </c>
      <c r="B22" s="2">
        <v>0.15</v>
      </c>
      <c r="C22" s="1">
        <v>1</v>
      </c>
      <c r="D22" s="1">
        <v>1</v>
      </c>
      <c r="E22" s="1" t="s">
        <v>33</v>
      </c>
      <c r="G22" s="2">
        <v>0.15</v>
      </c>
      <c r="H22" s="2">
        <v>2.57</v>
      </c>
      <c r="I22" s="2">
        <v>0.33</v>
      </c>
      <c r="K22" s="1">
        <v>23853</v>
      </c>
      <c r="L22" s="3">
        <v>13.28</v>
      </c>
      <c r="M22" s="3">
        <v>1.44</v>
      </c>
      <c r="N22" s="3">
        <v>14.72</v>
      </c>
    </row>
    <row r="23" spans="1:14" x14ac:dyDescent="0.45">
      <c r="A23" s="1">
        <v>904099</v>
      </c>
      <c r="B23" s="2">
        <v>0.06</v>
      </c>
      <c r="C23" s="1">
        <v>0</v>
      </c>
      <c r="D23" s="1">
        <v>3</v>
      </c>
      <c r="E23" s="1" t="s">
        <v>31</v>
      </c>
      <c r="G23" s="2">
        <v>0.06</v>
      </c>
      <c r="H23" s="2">
        <v>1.02</v>
      </c>
      <c r="I23" s="2">
        <v>99999</v>
      </c>
      <c r="J23" s="2">
        <v>99999</v>
      </c>
      <c r="K23" s="1">
        <v>904099</v>
      </c>
      <c r="L23" s="3">
        <v>227.87</v>
      </c>
      <c r="M23" s="3">
        <v>68.552499999999995</v>
      </c>
      <c r="N23" s="3">
        <v>296.42250000000001</v>
      </c>
    </row>
    <row r="24" spans="1:14" x14ac:dyDescent="0.45">
      <c r="A24" s="1">
        <v>24026</v>
      </c>
      <c r="B24" s="2">
        <v>0.33</v>
      </c>
      <c r="C24" s="1">
        <v>0</v>
      </c>
      <c r="D24" s="1">
        <v>1</v>
      </c>
      <c r="E24" s="1" t="s">
        <v>33</v>
      </c>
      <c r="G24" s="2">
        <v>0.33</v>
      </c>
      <c r="H24" s="2">
        <v>5.45</v>
      </c>
      <c r="I24" s="2">
        <v>0.52</v>
      </c>
      <c r="J24" s="2">
        <v>0.52</v>
      </c>
      <c r="K24" s="1">
        <v>24026</v>
      </c>
      <c r="L24" s="3">
        <v>1.61</v>
      </c>
      <c r="M24" s="3">
        <v>0.87</v>
      </c>
      <c r="N24" s="3">
        <v>2.48</v>
      </c>
    </row>
    <row r="25" spans="1:14" x14ac:dyDescent="0.45">
      <c r="A25" s="1">
        <v>24028</v>
      </c>
      <c r="B25" s="2">
        <v>0.21</v>
      </c>
      <c r="C25" s="1">
        <v>0</v>
      </c>
      <c r="D25" s="1">
        <v>1</v>
      </c>
      <c r="E25" s="1" t="s">
        <v>33</v>
      </c>
      <c r="G25" s="2">
        <v>0.21</v>
      </c>
      <c r="H25" s="2">
        <v>3.54</v>
      </c>
      <c r="I25" s="2">
        <v>0.44</v>
      </c>
      <c r="J25" s="2">
        <v>0.36</v>
      </c>
      <c r="K25" s="1">
        <v>24028</v>
      </c>
      <c r="L25" s="3">
        <v>49.555</v>
      </c>
      <c r="M25" s="3">
        <v>30.2575</v>
      </c>
      <c r="N25" s="3">
        <v>79.8125</v>
      </c>
    </row>
    <row r="26" spans="1:14" x14ac:dyDescent="0.45">
      <c r="A26" s="1">
        <v>24029</v>
      </c>
      <c r="B26" s="2">
        <v>0.44</v>
      </c>
      <c r="C26" s="1">
        <v>0</v>
      </c>
      <c r="D26" s="1">
        <v>1</v>
      </c>
      <c r="E26" s="1" t="s">
        <v>33</v>
      </c>
      <c r="G26" s="2">
        <v>0.44</v>
      </c>
      <c r="H26" s="2">
        <v>7.35</v>
      </c>
      <c r="I26" s="2">
        <v>1.51</v>
      </c>
      <c r="J26" s="2">
        <v>0.73</v>
      </c>
      <c r="K26" s="1">
        <v>24029</v>
      </c>
      <c r="L26" s="3">
        <v>21.035</v>
      </c>
      <c r="M26" s="3">
        <v>26.447500000000002</v>
      </c>
      <c r="N26" s="3">
        <v>47.482500000000002</v>
      </c>
    </row>
    <row r="27" spans="1:14" x14ac:dyDescent="0.45">
      <c r="A27" s="1">
        <v>904039</v>
      </c>
      <c r="B27" s="2">
        <v>0.2</v>
      </c>
      <c r="C27" s="1">
        <v>0</v>
      </c>
      <c r="D27" s="1">
        <v>0</v>
      </c>
      <c r="E27" s="1" t="s">
        <v>34</v>
      </c>
      <c r="F27" s="1">
        <v>44</v>
      </c>
      <c r="G27" s="2">
        <v>0.28999999999999998</v>
      </c>
      <c r="H27" s="2">
        <v>4.83</v>
      </c>
      <c r="I27" s="2">
        <v>0.7</v>
      </c>
      <c r="J27" s="2">
        <v>0.7</v>
      </c>
      <c r="K27" s="1">
        <v>904039</v>
      </c>
      <c r="L27" s="3">
        <v>57.01</v>
      </c>
      <c r="M27" s="3">
        <v>85.67</v>
      </c>
      <c r="N27" s="3">
        <v>142.68</v>
      </c>
    </row>
    <row r="28" spans="1:14" x14ac:dyDescent="0.45">
      <c r="A28" s="1">
        <v>904071</v>
      </c>
      <c r="B28" s="2">
        <v>0.19</v>
      </c>
      <c r="C28" s="1">
        <v>0</v>
      </c>
      <c r="D28" s="1">
        <v>0</v>
      </c>
      <c r="E28" s="1" t="s">
        <v>34</v>
      </c>
      <c r="F28" s="1">
        <v>41</v>
      </c>
      <c r="G28" s="2">
        <v>0.18</v>
      </c>
      <c r="H28" s="2">
        <v>2.94</v>
      </c>
      <c r="I28" s="2">
        <v>0.42</v>
      </c>
      <c r="J28" s="2">
        <v>0.42</v>
      </c>
      <c r="K28" s="1">
        <v>904071</v>
      </c>
      <c r="L28" s="3">
        <v>46.18</v>
      </c>
      <c r="M28" s="3">
        <v>153.15</v>
      </c>
      <c r="N28" s="3">
        <v>199.33</v>
      </c>
    </row>
    <row r="29" spans="1:14" x14ac:dyDescent="0.45">
      <c r="A29" s="1">
        <v>75358</v>
      </c>
      <c r="B29" s="2">
        <v>0.03</v>
      </c>
      <c r="C29" s="1">
        <v>1</v>
      </c>
      <c r="D29" s="1">
        <v>1</v>
      </c>
      <c r="E29" s="1" t="s">
        <v>33</v>
      </c>
      <c r="G29" s="2">
        <v>0.03</v>
      </c>
      <c r="H29" s="2">
        <v>0.53</v>
      </c>
      <c r="I29" s="2">
        <v>0.04</v>
      </c>
      <c r="K29" s="1">
        <v>75358</v>
      </c>
      <c r="L29" s="3">
        <v>72.682500000000005</v>
      </c>
      <c r="M29" s="3">
        <v>69.63</v>
      </c>
      <c r="N29" s="3">
        <v>142.3125</v>
      </c>
    </row>
    <row r="30" spans="1:14" x14ac:dyDescent="0.45">
      <c r="A30" s="1">
        <v>75359</v>
      </c>
      <c r="B30" s="2">
        <v>0.13</v>
      </c>
      <c r="C30" s="1">
        <v>0</v>
      </c>
      <c r="D30" s="1">
        <v>1</v>
      </c>
      <c r="E30" s="1" t="s">
        <v>33</v>
      </c>
      <c r="G30" s="2">
        <v>0.13</v>
      </c>
      <c r="H30" s="2">
        <v>2.16</v>
      </c>
      <c r="I30" s="2">
        <v>0.26</v>
      </c>
      <c r="J30" s="2">
        <v>0.23</v>
      </c>
      <c r="K30" s="1">
        <v>75359</v>
      </c>
      <c r="L30" s="3">
        <v>348.3175</v>
      </c>
      <c r="M30" s="3">
        <v>196.13499999999999</v>
      </c>
      <c r="N30" s="3">
        <v>544.45249999999999</v>
      </c>
    </row>
    <row r="31" spans="1:14" x14ac:dyDescent="0.45">
      <c r="A31" s="1">
        <v>90249</v>
      </c>
      <c r="B31" s="2">
        <v>0.26</v>
      </c>
      <c r="C31" s="1">
        <v>1</v>
      </c>
      <c r="D31" s="1">
        <v>1</v>
      </c>
      <c r="E31" s="1" t="s">
        <v>33</v>
      </c>
      <c r="G31" s="2">
        <v>0.26</v>
      </c>
      <c r="H31" s="2">
        <v>99999</v>
      </c>
      <c r="I31" s="2">
        <v>0.44</v>
      </c>
      <c r="K31" s="1">
        <v>90249</v>
      </c>
      <c r="L31" s="3">
        <v>0</v>
      </c>
      <c r="M31" s="3">
        <v>0</v>
      </c>
      <c r="N31" s="3">
        <v>0</v>
      </c>
    </row>
    <row r="32" spans="1:14" x14ac:dyDescent="0.45">
      <c r="A32" s="1">
        <v>904044</v>
      </c>
      <c r="B32" s="2">
        <v>0.02</v>
      </c>
      <c r="C32" s="1">
        <v>0</v>
      </c>
      <c r="D32" s="1">
        <v>0</v>
      </c>
      <c r="E32" s="1" t="s">
        <v>34</v>
      </c>
      <c r="F32" s="1">
        <v>164</v>
      </c>
      <c r="G32" s="2">
        <v>0.12</v>
      </c>
      <c r="H32" s="2">
        <v>2.02</v>
      </c>
      <c r="I32" s="2">
        <v>0.28999999999999998</v>
      </c>
      <c r="J32" s="2">
        <v>0.28999999999999998</v>
      </c>
      <c r="K32" s="1">
        <v>904044</v>
      </c>
      <c r="L32" s="3">
        <v>45.17</v>
      </c>
      <c r="M32" s="3">
        <v>38.020000000000003</v>
      </c>
      <c r="N32" s="3">
        <v>83.19</v>
      </c>
    </row>
    <row r="33" spans="1:14" x14ac:dyDescent="0.45">
      <c r="A33" s="1">
        <v>904027</v>
      </c>
      <c r="B33" s="2">
        <v>0.36</v>
      </c>
      <c r="C33" s="1">
        <v>0</v>
      </c>
      <c r="D33" s="1">
        <v>1</v>
      </c>
      <c r="E33" s="1" t="s">
        <v>33</v>
      </c>
      <c r="G33" s="2">
        <v>0.36</v>
      </c>
      <c r="H33" s="2">
        <v>6</v>
      </c>
      <c r="I33" s="2">
        <v>2.04</v>
      </c>
      <c r="J33" s="2">
        <v>0.62</v>
      </c>
      <c r="K33" s="1">
        <v>904027</v>
      </c>
      <c r="L33" s="3">
        <v>3.41</v>
      </c>
      <c r="M33" s="3">
        <v>0.23250000000000001</v>
      </c>
      <c r="N33" s="3">
        <v>3.6425000000000001</v>
      </c>
    </row>
    <row r="34" spans="1:14" x14ac:dyDescent="0.45">
      <c r="A34" s="1">
        <v>90252</v>
      </c>
      <c r="B34" s="2">
        <v>0.08</v>
      </c>
      <c r="C34" s="1">
        <v>1</v>
      </c>
      <c r="D34" s="1">
        <v>1</v>
      </c>
      <c r="E34" s="1" t="s">
        <v>33</v>
      </c>
      <c r="G34" s="2">
        <v>0.08</v>
      </c>
      <c r="H34" s="2">
        <v>1.36</v>
      </c>
      <c r="I34" s="2">
        <v>0.13</v>
      </c>
      <c r="K34" s="1">
        <v>90252</v>
      </c>
      <c r="L34" s="3">
        <v>10.66</v>
      </c>
      <c r="M34" s="3">
        <v>189.46250000000001</v>
      </c>
      <c r="N34" s="3">
        <v>200.1225</v>
      </c>
    </row>
    <row r="35" spans="1:14" x14ac:dyDescent="0.45">
      <c r="A35" s="1">
        <v>904013</v>
      </c>
      <c r="B35" s="2">
        <v>0.08</v>
      </c>
      <c r="C35" s="1">
        <v>1</v>
      </c>
      <c r="D35" s="1">
        <v>1</v>
      </c>
      <c r="E35" s="1" t="s">
        <v>33</v>
      </c>
      <c r="G35" s="2">
        <v>0.08</v>
      </c>
      <c r="H35" s="2">
        <v>1.31</v>
      </c>
      <c r="I35" s="2">
        <v>0.24</v>
      </c>
      <c r="K35" s="1">
        <v>904013</v>
      </c>
      <c r="L35" s="3">
        <v>49.445</v>
      </c>
      <c r="M35" s="3">
        <v>21.63</v>
      </c>
      <c r="N35" s="3">
        <v>71.075000000000003</v>
      </c>
    </row>
    <row r="36" spans="1:14" x14ac:dyDescent="0.45">
      <c r="A36" s="1">
        <v>90324</v>
      </c>
      <c r="B36" s="2">
        <v>0.05</v>
      </c>
      <c r="C36" s="1">
        <v>1</v>
      </c>
      <c r="D36" s="1">
        <v>1</v>
      </c>
      <c r="E36" s="1" t="s">
        <v>33</v>
      </c>
      <c r="G36" s="2">
        <v>0.05</v>
      </c>
      <c r="H36" s="2">
        <v>0.77</v>
      </c>
      <c r="I36" s="2">
        <v>0.21</v>
      </c>
      <c r="K36" s="1">
        <v>90324</v>
      </c>
      <c r="L36" s="3">
        <v>92.814999999999998</v>
      </c>
      <c r="M36" s="3">
        <v>0</v>
      </c>
      <c r="N36" s="3">
        <v>92.814999999999998</v>
      </c>
    </row>
    <row r="37" spans="1:14" x14ac:dyDescent="0.45">
      <c r="A37" s="1">
        <v>904060</v>
      </c>
      <c r="B37" s="2">
        <v>0.13</v>
      </c>
      <c r="C37" s="1">
        <v>0</v>
      </c>
      <c r="D37" s="1">
        <v>0</v>
      </c>
      <c r="E37" s="1" t="s">
        <v>34</v>
      </c>
      <c r="F37" s="1">
        <v>150</v>
      </c>
      <c r="G37" s="2">
        <v>0.13</v>
      </c>
      <c r="H37" s="2">
        <v>2.1800000000000002</v>
      </c>
      <c r="I37" s="2">
        <v>0.31</v>
      </c>
      <c r="J37" s="2">
        <v>0.31</v>
      </c>
      <c r="K37" s="1">
        <v>904060</v>
      </c>
      <c r="L37" s="3">
        <v>17.760000000000002</v>
      </c>
      <c r="M37" s="3">
        <v>37.15</v>
      </c>
      <c r="N37" s="3">
        <v>54.91</v>
      </c>
    </row>
    <row r="38" spans="1:14" x14ac:dyDescent="0.45">
      <c r="A38" s="1">
        <v>92986</v>
      </c>
      <c r="B38" s="2">
        <v>0.1</v>
      </c>
      <c r="C38" s="1">
        <v>1</v>
      </c>
      <c r="D38" s="1">
        <v>1</v>
      </c>
      <c r="E38" s="1" t="s">
        <v>33</v>
      </c>
      <c r="G38" s="2">
        <v>0.1</v>
      </c>
      <c r="H38" s="2">
        <v>1.63</v>
      </c>
      <c r="I38" s="2">
        <v>0.18</v>
      </c>
      <c r="K38" s="1">
        <v>92986</v>
      </c>
      <c r="L38" s="3">
        <v>77.002499999999998</v>
      </c>
      <c r="M38" s="3">
        <v>26.862500000000001</v>
      </c>
      <c r="N38" s="3">
        <v>103.86499999999999</v>
      </c>
    </row>
    <row r="39" spans="1:14" x14ac:dyDescent="0.45">
      <c r="A39" s="1">
        <v>92991</v>
      </c>
      <c r="B39" s="2">
        <v>0.12</v>
      </c>
      <c r="C39" s="1">
        <v>1</v>
      </c>
      <c r="D39" s="1">
        <v>1</v>
      </c>
      <c r="E39" s="1" t="s">
        <v>33</v>
      </c>
      <c r="G39" s="2">
        <v>0.12</v>
      </c>
      <c r="H39" s="2">
        <v>2.0099999999999998</v>
      </c>
      <c r="I39" s="2">
        <v>0.18</v>
      </c>
      <c r="K39" s="1">
        <v>92991</v>
      </c>
      <c r="L39" s="3">
        <v>9.2725000000000009</v>
      </c>
      <c r="M39" s="3">
        <v>10.455</v>
      </c>
      <c r="N39" s="3">
        <v>19.727499999999999</v>
      </c>
    </row>
    <row r="40" spans="1:14" x14ac:dyDescent="0.45">
      <c r="A40" s="1">
        <v>904066</v>
      </c>
      <c r="B40" s="2">
        <v>0.25</v>
      </c>
      <c r="C40" s="1">
        <v>0</v>
      </c>
      <c r="D40" s="1">
        <v>0</v>
      </c>
      <c r="E40" s="1" t="s">
        <v>34</v>
      </c>
      <c r="F40" s="1">
        <v>3</v>
      </c>
      <c r="G40" s="2">
        <v>0.27</v>
      </c>
      <c r="H40" s="2">
        <v>4.49</v>
      </c>
      <c r="I40" s="2">
        <v>0.65</v>
      </c>
      <c r="J40" s="2">
        <v>0.65</v>
      </c>
      <c r="K40" s="1">
        <v>904066</v>
      </c>
      <c r="L40" s="3">
        <v>6.38</v>
      </c>
      <c r="M40" s="3">
        <v>103.41</v>
      </c>
      <c r="N40" s="3">
        <v>109.79</v>
      </c>
    </row>
    <row r="41" spans="1:14" x14ac:dyDescent="0.45">
      <c r="A41" s="1">
        <v>904077</v>
      </c>
      <c r="B41" s="2">
        <v>0.12</v>
      </c>
      <c r="C41" s="1">
        <v>0</v>
      </c>
      <c r="D41" s="1">
        <v>0</v>
      </c>
      <c r="E41" s="1" t="s">
        <v>34</v>
      </c>
      <c r="F41" s="1">
        <v>180</v>
      </c>
      <c r="G41" s="2">
        <v>0.15</v>
      </c>
      <c r="H41" s="2">
        <v>2.5</v>
      </c>
      <c r="I41" s="2">
        <v>0.36</v>
      </c>
      <c r="J41" s="2">
        <v>0.36</v>
      </c>
      <c r="K41" s="1">
        <v>904077</v>
      </c>
      <c r="L41" s="3">
        <v>28.77</v>
      </c>
      <c r="M41" s="3">
        <v>24.31</v>
      </c>
      <c r="N41" s="3">
        <v>53.08</v>
      </c>
    </row>
    <row r="42" spans="1:14" x14ac:dyDescent="0.45">
      <c r="A42" s="1">
        <v>904091</v>
      </c>
      <c r="B42" s="2">
        <v>0.16</v>
      </c>
      <c r="C42" s="1">
        <v>0</v>
      </c>
      <c r="D42" s="1">
        <v>0</v>
      </c>
      <c r="E42" s="1" t="s">
        <v>35</v>
      </c>
      <c r="G42" s="2">
        <v>0.1</v>
      </c>
      <c r="H42" s="2">
        <v>2.73</v>
      </c>
      <c r="I42" s="2">
        <v>0.2</v>
      </c>
      <c r="J42" s="2">
        <v>0.2</v>
      </c>
      <c r="K42" s="1">
        <v>904091</v>
      </c>
      <c r="L42" s="3">
        <v>416.61250000000001</v>
      </c>
      <c r="M42" s="3">
        <v>163.41499999999999</v>
      </c>
      <c r="N42" s="3">
        <v>580.02750000000003</v>
      </c>
    </row>
    <row r="43" spans="1:14" x14ac:dyDescent="0.45">
      <c r="A43" s="1">
        <v>93496</v>
      </c>
      <c r="B43" s="2">
        <v>0.31</v>
      </c>
      <c r="C43" s="1">
        <v>1</v>
      </c>
      <c r="D43" s="1">
        <v>1</v>
      </c>
      <c r="E43" s="1" t="s">
        <v>33</v>
      </c>
      <c r="G43" s="2">
        <v>0.31</v>
      </c>
      <c r="H43" s="2">
        <v>5.14</v>
      </c>
      <c r="I43" s="2">
        <v>0.49</v>
      </c>
      <c r="K43" s="1">
        <v>93496</v>
      </c>
      <c r="L43" s="3">
        <v>0</v>
      </c>
      <c r="M43" s="3">
        <v>0</v>
      </c>
      <c r="N43" s="3">
        <v>0</v>
      </c>
    </row>
    <row r="44" spans="1:14" x14ac:dyDescent="0.45">
      <c r="A44" s="1">
        <v>904095</v>
      </c>
      <c r="B44" s="2">
        <v>0.25</v>
      </c>
      <c r="C44" s="1">
        <v>0</v>
      </c>
      <c r="D44" s="1">
        <v>3</v>
      </c>
      <c r="E44" s="1" t="s">
        <v>31</v>
      </c>
      <c r="G44" s="2">
        <v>0.25</v>
      </c>
      <c r="H44" s="2">
        <v>4.16</v>
      </c>
      <c r="I44" s="2">
        <v>99999</v>
      </c>
      <c r="J44" s="2">
        <v>99999</v>
      </c>
      <c r="K44" s="1">
        <v>904095</v>
      </c>
      <c r="L44" s="3">
        <v>0.2225</v>
      </c>
      <c r="M44" s="3">
        <v>0</v>
      </c>
      <c r="N44" s="3">
        <v>0.2225</v>
      </c>
    </row>
    <row r="45" spans="1:14" x14ac:dyDescent="0.45">
      <c r="A45" s="1">
        <v>904005</v>
      </c>
      <c r="B45" s="2">
        <v>0.03</v>
      </c>
      <c r="C45" s="1">
        <v>0</v>
      </c>
      <c r="D45" s="1">
        <v>0</v>
      </c>
      <c r="E45" s="1" t="s">
        <v>34</v>
      </c>
      <c r="G45" s="2">
        <v>0.1</v>
      </c>
      <c r="H45" s="2">
        <v>1.67</v>
      </c>
      <c r="I45" s="2">
        <v>0.24</v>
      </c>
      <c r="J45" s="2">
        <v>0.24</v>
      </c>
      <c r="K45" s="1">
        <v>904005</v>
      </c>
      <c r="L45" s="3">
        <v>57.72</v>
      </c>
      <c r="M45" s="3">
        <v>90.88</v>
      </c>
      <c r="N45" s="3">
        <v>148.6</v>
      </c>
    </row>
    <row r="46" spans="1:14" x14ac:dyDescent="0.45">
      <c r="A46" s="1">
        <v>904064</v>
      </c>
      <c r="B46" s="2">
        <v>0.06</v>
      </c>
      <c r="C46" s="1">
        <v>0</v>
      </c>
      <c r="D46" s="1">
        <v>0</v>
      </c>
      <c r="E46" s="1" t="s">
        <v>34</v>
      </c>
      <c r="F46" s="1">
        <v>144</v>
      </c>
      <c r="G46" s="2">
        <v>0.14000000000000001</v>
      </c>
      <c r="H46" s="2">
        <v>2.2799999999999998</v>
      </c>
      <c r="I46" s="2">
        <v>0.33</v>
      </c>
      <c r="J46" s="2">
        <v>0.33</v>
      </c>
      <c r="K46" s="1">
        <v>904064</v>
      </c>
      <c r="L46" s="3">
        <v>34.99</v>
      </c>
      <c r="M46" s="3">
        <v>51.95</v>
      </c>
      <c r="N46" s="3">
        <v>86.94</v>
      </c>
    </row>
    <row r="47" spans="1:14" x14ac:dyDescent="0.45">
      <c r="A47" s="1">
        <v>904078</v>
      </c>
      <c r="B47" s="2">
        <v>0.1</v>
      </c>
      <c r="C47" s="1">
        <v>0</v>
      </c>
      <c r="D47" s="1">
        <v>0</v>
      </c>
      <c r="E47" s="1" t="s">
        <v>34</v>
      </c>
      <c r="F47" s="1">
        <v>182</v>
      </c>
      <c r="G47" s="2">
        <v>0.13</v>
      </c>
      <c r="H47" s="2">
        <v>2.2400000000000002</v>
      </c>
      <c r="I47" s="2">
        <v>0.32</v>
      </c>
      <c r="J47" s="2">
        <v>0.32</v>
      </c>
      <c r="K47" s="1">
        <v>904078</v>
      </c>
      <c r="L47" s="3">
        <v>105.48</v>
      </c>
      <c r="M47" s="3">
        <v>10.8</v>
      </c>
      <c r="N47" s="3">
        <v>116.28</v>
      </c>
    </row>
    <row r="48" spans="1:14" x14ac:dyDescent="0.45">
      <c r="A48" s="1">
        <v>128403</v>
      </c>
      <c r="B48" s="2">
        <v>0.14000000000000001</v>
      </c>
      <c r="C48" s="1">
        <v>0</v>
      </c>
      <c r="D48" s="1">
        <v>1</v>
      </c>
      <c r="E48" s="1" t="s">
        <v>33</v>
      </c>
      <c r="G48" s="2">
        <v>0.14000000000000001</v>
      </c>
      <c r="H48" s="2">
        <v>2.29</v>
      </c>
      <c r="I48" s="2">
        <v>0.23</v>
      </c>
      <c r="J48" s="2">
        <v>0.23</v>
      </c>
      <c r="K48" s="1">
        <v>128403</v>
      </c>
      <c r="L48" s="3">
        <v>283.685</v>
      </c>
      <c r="M48" s="3">
        <v>222.33</v>
      </c>
      <c r="N48" s="3">
        <v>506.01499999999999</v>
      </c>
    </row>
    <row r="49" spans="1:14" x14ac:dyDescent="0.45">
      <c r="A49" s="1">
        <v>903991</v>
      </c>
      <c r="B49" s="2">
        <v>0.13</v>
      </c>
      <c r="C49" s="1">
        <v>1</v>
      </c>
      <c r="D49" s="1">
        <v>1</v>
      </c>
      <c r="E49" s="1" t="s">
        <v>33</v>
      </c>
      <c r="G49" s="2">
        <v>0.13</v>
      </c>
      <c r="H49" s="2">
        <v>2.1800000000000002</v>
      </c>
      <c r="I49" s="2">
        <v>0.19</v>
      </c>
      <c r="K49" s="1">
        <v>903991</v>
      </c>
      <c r="L49" s="3">
        <v>18.0275</v>
      </c>
      <c r="M49" s="3">
        <v>20</v>
      </c>
      <c r="N49" s="3">
        <v>38.027500000000003</v>
      </c>
    </row>
    <row r="50" spans="1:14" x14ac:dyDescent="0.45">
      <c r="A50" s="1">
        <v>903993</v>
      </c>
      <c r="B50" s="2">
        <v>7.0000000000000007E-2</v>
      </c>
      <c r="C50" s="1">
        <v>1</v>
      </c>
      <c r="D50" s="1">
        <v>1</v>
      </c>
      <c r="E50" s="1" t="s">
        <v>33</v>
      </c>
      <c r="G50" s="2">
        <v>7.0000000000000007E-2</v>
      </c>
      <c r="H50" s="2">
        <v>1.1000000000000001</v>
      </c>
      <c r="I50" s="2">
        <v>0.08</v>
      </c>
      <c r="K50" s="1">
        <v>903993</v>
      </c>
      <c r="L50" s="3">
        <v>3.2075</v>
      </c>
      <c r="M50" s="3">
        <v>4.5374999999999996</v>
      </c>
      <c r="N50" s="3">
        <v>7.7450000000000001</v>
      </c>
    </row>
    <row r="51" spans="1:14" x14ac:dyDescent="0.45">
      <c r="A51" s="1">
        <v>128407</v>
      </c>
      <c r="B51" s="2">
        <v>0.35</v>
      </c>
      <c r="C51" s="1">
        <v>0</v>
      </c>
      <c r="D51" s="1">
        <v>1</v>
      </c>
      <c r="E51" s="1" t="s">
        <v>33</v>
      </c>
      <c r="G51" s="2">
        <v>0.35</v>
      </c>
      <c r="H51" s="2">
        <v>5.84</v>
      </c>
      <c r="I51" s="2">
        <v>0.62</v>
      </c>
      <c r="J51" s="2">
        <v>1.66</v>
      </c>
      <c r="K51" s="1">
        <v>128407</v>
      </c>
      <c r="L51" s="3">
        <v>6.5075000000000003</v>
      </c>
      <c r="M51" s="3">
        <v>0.81499999999999995</v>
      </c>
      <c r="N51" s="3">
        <v>7.3224999999999998</v>
      </c>
    </row>
    <row r="52" spans="1:14" x14ac:dyDescent="0.45">
      <c r="A52" s="1">
        <v>128408</v>
      </c>
      <c r="B52" s="2">
        <v>0.12</v>
      </c>
      <c r="C52" s="1">
        <v>1</v>
      </c>
      <c r="D52" s="1">
        <v>1</v>
      </c>
      <c r="E52" s="1" t="s">
        <v>33</v>
      </c>
      <c r="G52" s="2">
        <v>0.12</v>
      </c>
      <c r="H52" s="2">
        <v>2.0499999999999998</v>
      </c>
      <c r="I52" s="2">
        <v>0.21</v>
      </c>
      <c r="K52" s="1">
        <v>128408</v>
      </c>
      <c r="L52" s="3">
        <v>17.752500000000001</v>
      </c>
      <c r="M52" s="3">
        <v>4.9725000000000001</v>
      </c>
      <c r="N52" s="3">
        <v>22.725000000000001</v>
      </c>
    </row>
    <row r="53" spans="1:14" x14ac:dyDescent="0.45">
      <c r="A53" s="1">
        <v>129898</v>
      </c>
      <c r="B53" s="2">
        <v>0.12</v>
      </c>
      <c r="C53" s="1">
        <v>1</v>
      </c>
      <c r="D53" s="1">
        <v>1</v>
      </c>
      <c r="E53" s="1" t="s">
        <v>33</v>
      </c>
      <c r="G53" s="2">
        <v>0.12</v>
      </c>
      <c r="H53" s="2">
        <v>1.98</v>
      </c>
      <c r="I53" s="2">
        <v>0.21</v>
      </c>
      <c r="K53" s="1">
        <v>129898</v>
      </c>
      <c r="L53" s="3">
        <v>11.3325</v>
      </c>
      <c r="M53" s="3">
        <v>48.747500000000002</v>
      </c>
      <c r="N53" s="3">
        <v>60.08</v>
      </c>
    </row>
    <row r="54" spans="1:14" x14ac:dyDescent="0.45">
      <c r="A54" s="1">
        <v>134357</v>
      </c>
      <c r="B54" s="2">
        <v>0.14000000000000001</v>
      </c>
      <c r="C54" s="1">
        <v>1</v>
      </c>
      <c r="D54" s="1">
        <v>1</v>
      </c>
      <c r="E54" s="1" t="s">
        <v>33</v>
      </c>
      <c r="G54" s="2">
        <v>0.14000000000000001</v>
      </c>
      <c r="H54" s="2">
        <v>2.42</v>
      </c>
      <c r="I54" s="2">
        <v>0.77</v>
      </c>
      <c r="K54" s="1">
        <v>134357</v>
      </c>
      <c r="L54" s="3">
        <v>2.38</v>
      </c>
      <c r="M54" s="3">
        <v>0.05</v>
      </c>
      <c r="N54" s="3">
        <v>2.4300000000000002</v>
      </c>
    </row>
    <row r="55" spans="1:14" x14ac:dyDescent="0.45">
      <c r="A55" s="1">
        <v>134358</v>
      </c>
      <c r="B55" s="2">
        <v>0.21</v>
      </c>
      <c r="C55" s="1">
        <v>1</v>
      </c>
      <c r="D55" s="1">
        <v>1</v>
      </c>
      <c r="E55" s="1" t="s">
        <v>33</v>
      </c>
      <c r="G55" s="2">
        <v>0.21</v>
      </c>
      <c r="H55" s="2">
        <v>3.52</v>
      </c>
      <c r="I55" s="2">
        <v>0.37</v>
      </c>
      <c r="K55" s="1">
        <v>134358</v>
      </c>
      <c r="L55" s="3">
        <v>4.1849999999999996</v>
      </c>
      <c r="M55" s="3">
        <v>55.055</v>
      </c>
      <c r="N55" s="3">
        <v>59.24</v>
      </c>
    </row>
    <row r="56" spans="1:14" x14ac:dyDescent="0.45">
      <c r="A56" s="1">
        <v>134359</v>
      </c>
      <c r="B56" s="2">
        <v>0.11</v>
      </c>
      <c r="C56" s="1">
        <v>1</v>
      </c>
      <c r="D56" s="1">
        <v>1</v>
      </c>
      <c r="E56" s="1" t="s">
        <v>33</v>
      </c>
      <c r="G56" s="2">
        <v>0.11</v>
      </c>
      <c r="H56" s="2">
        <v>1.82</v>
      </c>
      <c r="I56" s="2">
        <v>0.15</v>
      </c>
      <c r="K56" s="1">
        <v>134359</v>
      </c>
      <c r="L56" s="3">
        <v>13.8125</v>
      </c>
      <c r="M56" s="3">
        <v>66.034999999999997</v>
      </c>
      <c r="N56" s="3">
        <v>79.847499999999997</v>
      </c>
    </row>
    <row r="57" spans="1:14" x14ac:dyDescent="0.45">
      <c r="A57" s="1">
        <v>138282</v>
      </c>
      <c r="B57" s="2">
        <v>0.41</v>
      </c>
      <c r="C57" s="1">
        <v>0</v>
      </c>
      <c r="D57" s="1">
        <v>1</v>
      </c>
      <c r="E57" s="1" t="s">
        <v>33</v>
      </c>
      <c r="G57" s="2">
        <v>0.41</v>
      </c>
      <c r="H57" s="2">
        <v>6.86</v>
      </c>
      <c r="I57" s="2">
        <v>0.62</v>
      </c>
      <c r="J57" s="2">
        <v>2.21</v>
      </c>
      <c r="K57" s="1">
        <v>138282</v>
      </c>
      <c r="L57" s="3">
        <v>51.16</v>
      </c>
      <c r="M57" s="3">
        <v>69.31</v>
      </c>
      <c r="N57" s="3">
        <v>120.47</v>
      </c>
    </row>
    <row r="58" spans="1:14" x14ac:dyDescent="0.45">
      <c r="A58" s="1">
        <v>139144</v>
      </c>
      <c r="B58" s="2">
        <v>0.06</v>
      </c>
      <c r="C58" s="1">
        <v>0</v>
      </c>
      <c r="D58" s="1">
        <v>1</v>
      </c>
      <c r="E58" s="1" t="s">
        <v>33</v>
      </c>
      <c r="G58" s="2">
        <v>0.06</v>
      </c>
      <c r="H58" s="2">
        <v>1.07</v>
      </c>
      <c r="I58" s="2">
        <v>0.11</v>
      </c>
      <c r="J58" s="2">
        <v>0.11</v>
      </c>
      <c r="K58" s="1">
        <v>139144</v>
      </c>
      <c r="L58" s="3">
        <v>11.28</v>
      </c>
      <c r="M58" s="3">
        <v>30.03</v>
      </c>
      <c r="N58" s="3">
        <v>41.31</v>
      </c>
    </row>
    <row r="59" spans="1:14" x14ac:dyDescent="0.45">
      <c r="A59" s="1">
        <v>193110</v>
      </c>
      <c r="B59" s="2">
        <v>0.3</v>
      </c>
      <c r="C59" s="1">
        <v>0</v>
      </c>
      <c r="D59" s="1">
        <v>1</v>
      </c>
      <c r="E59" s="1" t="s">
        <v>33</v>
      </c>
      <c r="G59" s="2">
        <v>0.3</v>
      </c>
      <c r="H59" s="2">
        <v>5.07</v>
      </c>
      <c r="I59" s="2">
        <v>0.52</v>
      </c>
      <c r="J59" s="2">
        <v>0.52</v>
      </c>
      <c r="K59" s="1">
        <v>193110</v>
      </c>
      <c r="L59" s="3">
        <v>0.17</v>
      </c>
      <c r="M59" s="3">
        <v>17.782499999999999</v>
      </c>
      <c r="N59" s="3">
        <v>17.952500000000001</v>
      </c>
    </row>
    <row r="60" spans="1:14" x14ac:dyDescent="0.45">
      <c r="A60" s="1">
        <v>903982</v>
      </c>
      <c r="B60" s="2">
        <v>0.14000000000000001</v>
      </c>
      <c r="C60" s="1">
        <v>0</v>
      </c>
      <c r="D60" s="1">
        <v>1</v>
      </c>
      <c r="E60" s="1" t="s">
        <v>33</v>
      </c>
      <c r="G60" s="2">
        <v>0.14000000000000001</v>
      </c>
      <c r="H60" s="2">
        <v>2.36</v>
      </c>
      <c r="I60" s="2">
        <v>0.28999999999999998</v>
      </c>
      <c r="J60" s="2">
        <v>0.3</v>
      </c>
      <c r="K60" s="1">
        <v>903982</v>
      </c>
      <c r="L60" s="3">
        <v>9.4824999999999999</v>
      </c>
      <c r="M60" s="3">
        <v>46.982500000000002</v>
      </c>
      <c r="N60" s="3">
        <v>56.465000000000003</v>
      </c>
    </row>
    <row r="61" spans="1:14" x14ac:dyDescent="0.45">
      <c r="A61" s="1">
        <v>904096</v>
      </c>
      <c r="B61" s="2">
        <v>0.09</v>
      </c>
      <c r="C61" s="1">
        <v>0</v>
      </c>
      <c r="D61" s="1">
        <v>3</v>
      </c>
      <c r="E61" s="1" t="s">
        <v>31</v>
      </c>
      <c r="G61" s="2">
        <v>0.09</v>
      </c>
      <c r="H61" s="2">
        <v>1.48</v>
      </c>
      <c r="I61" s="2">
        <v>99999</v>
      </c>
      <c r="J61" s="2">
        <v>99999</v>
      </c>
      <c r="K61" s="1">
        <v>904096</v>
      </c>
      <c r="L61" s="3">
        <v>49.777500000000003</v>
      </c>
      <c r="M61" s="3">
        <v>7.27</v>
      </c>
      <c r="N61" s="3">
        <v>57.047499999999999</v>
      </c>
    </row>
    <row r="62" spans="1:14" x14ac:dyDescent="0.45">
      <c r="A62" s="1">
        <v>193120</v>
      </c>
      <c r="B62" s="2">
        <v>0.05</v>
      </c>
      <c r="C62" s="1">
        <v>0</v>
      </c>
      <c r="D62" s="1">
        <v>1</v>
      </c>
      <c r="E62" s="1" t="s">
        <v>33</v>
      </c>
      <c r="G62" s="2">
        <v>0.05</v>
      </c>
      <c r="H62" s="2">
        <v>0.78</v>
      </c>
      <c r="I62" s="2">
        <v>3.14</v>
      </c>
      <c r="J62" s="2">
        <v>2.93</v>
      </c>
      <c r="K62" s="1">
        <v>193120</v>
      </c>
      <c r="L62" s="3">
        <v>139.5975</v>
      </c>
      <c r="M62" s="3">
        <v>124.58750000000001</v>
      </c>
      <c r="N62" s="3">
        <v>264.185</v>
      </c>
    </row>
    <row r="63" spans="1:14" x14ac:dyDescent="0.45">
      <c r="A63" s="1">
        <v>903983</v>
      </c>
      <c r="B63" s="2">
        <v>0.31</v>
      </c>
      <c r="C63" s="1">
        <v>1</v>
      </c>
      <c r="D63" s="1">
        <v>1</v>
      </c>
      <c r="E63" s="1" t="s">
        <v>33</v>
      </c>
      <c r="G63" s="2">
        <v>0.31</v>
      </c>
      <c r="H63" s="2">
        <v>5.16</v>
      </c>
      <c r="I63" s="2">
        <v>0.41</v>
      </c>
      <c r="K63" s="1">
        <v>903983</v>
      </c>
      <c r="L63" s="3">
        <v>5.16</v>
      </c>
      <c r="M63" s="3">
        <v>8.3699999999999992</v>
      </c>
      <c r="N63" s="3">
        <v>13.53</v>
      </c>
    </row>
    <row r="64" spans="1:14" x14ac:dyDescent="0.45">
      <c r="A64" s="1">
        <v>210529</v>
      </c>
      <c r="B64" s="2">
        <v>0.06</v>
      </c>
      <c r="C64" s="1">
        <v>0</v>
      </c>
      <c r="D64" s="1">
        <v>1</v>
      </c>
      <c r="E64" s="1" t="s">
        <v>33</v>
      </c>
      <c r="G64" s="2">
        <v>0.06</v>
      </c>
      <c r="H64" s="2">
        <v>1.03</v>
      </c>
      <c r="I64" s="2">
        <v>0.1</v>
      </c>
      <c r="J64" s="2">
        <v>0.22</v>
      </c>
      <c r="K64" s="1">
        <v>210529</v>
      </c>
      <c r="L64" s="3">
        <v>11.17</v>
      </c>
      <c r="M64" s="3">
        <v>5.4775</v>
      </c>
      <c r="N64" s="3">
        <v>16.647500000000001</v>
      </c>
    </row>
    <row r="65" spans="1:14" x14ac:dyDescent="0.45">
      <c r="A65" s="1">
        <v>218493</v>
      </c>
      <c r="B65" s="2">
        <v>0.31</v>
      </c>
      <c r="C65" s="1">
        <v>0</v>
      </c>
      <c r="D65" s="1">
        <v>1</v>
      </c>
      <c r="E65" s="1" t="s">
        <v>33</v>
      </c>
      <c r="G65" s="2">
        <v>0.31</v>
      </c>
      <c r="H65" s="2">
        <v>5.0999999999999996</v>
      </c>
      <c r="I65" s="2">
        <v>1.99</v>
      </c>
      <c r="J65" s="2">
        <v>3.47</v>
      </c>
      <c r="K65" s="1">
        <v>218493</v>
      </c>
      <c r="L65" s="3">
        <v>30.76</v>
      </c>
      <c r="M65" s="3">
        <v>49.1325</v>
      </c>
      <c r="N65" s="3">
        <v>79.892499999999998</v>
      </c>
    </row>
    <row r="66" spans="1:14" x14ac:dyDescent="0.45">
      <c r="A66" s="1">
        <v>904092</v>
      </c>
      <c r="B66" s="2">
        <v>0.16</v>
      </c>
      <c r="C66" s="1">
        <v>0</v>
      </c>
      <c r="D66" s="1">
        <v>0</v>
      </c>
      <c r="E66" s="1" t="s">
        <v>35</v>
      </c>
      <c r="G66" s="2">
        <v>0.1</v>
      </c>
      <c r="H66" s="2">
        <v>2.63</v>
      </c>
      <c r="I66" s="2">
        <v>0.19</v>
      </c>
      <c r="J66" s="2">
        <v>0.19</v>
      </c>
      <c r="K66" s="1">
        <v>904092</v>
      </c>
      <c r="L66" s="3">
        <v>23.997499999999999</v>
      </c>
      <c r="M66" s="3">
        <v>35.305</v>
      </c>
      <c r="N66" s="3">
        <v>59.302500000000002</v>
      </c>
    </row>
    <row r="67" spans="1:14" x14ac:dyDescent="0.45">
      <c r="A67" s="1">
        <v>904094</v>
      </c>
      <c r="B67" s="2">
        <v>0.18</v>
      </c>
      <c r="C67" s="1">
        <v>0</v>
      </c>
      <c r="D67" s="1">
        <v>0</v>
      </c>
      <c r="E67" s="1" t="s">
        <v>35</v>
      </c>
      <c r="G67" s="2">
        <v>0.1</v>
      </c>
      <c r="H67" s="2">
        <v>3</v>
      </c>
      <c r="I67" s="2">
        <v>0.22</v>
      </c>
      <c r="J67" s="2">
        <v>0.22</v>
      </c>
      <c r="K67" s="1">
        <v>904094</v>
      </c>
      <c r="L67" s="3">
        <v>148.83000000000001</v>
      </c>
      <c r="M67" s="3">
        <v>291.93</v>
      </c>
      <c r="N67" s="3">
        <v>440.76</v>
      </c>
    </row>
    <row r="68" spans="1:14" x14ac:dyDescent="0.45">
      <c r="A68" s="1">
        <v>904029</v>
      </c>
      <c r="B68" s="2">
        <v>0.6</v>
      </c>
      <c r="C68" s="1">
        <v>0</v>
      </c>
      <c r="D68" s="1">
        <v>1</v>
      </c>
      <c r="E68" s="1" t="s">
        <v>33</v>
      </c>
      <c r="G68" s="2">
        <v>0.6</v>
      </c>
      <c r="H68" s="2">
        <v>9.92</v>
      </c>
      <c r="I68" s="2">
        <v>3.89</v>
      </c>
      <c r="J68" s="2">
        <v>0.88</v>
      </c>
      <c r="K68" s="1">
        <v>904029</v>
      </c>
      <c r="L68" s="3">
        <v>0</v>
      </c>
      <c r="M68" s="3">
        <v>15.06</v>
      </c>
      <c r="N68" s="3">
        <v>15.06</v>
      </c>
    </row>
    <row r="69" spans="1:14" x14ac:dyDescent="0.45">
      <c r="A69" s="1">
        <v>904100</v>
      </c>
      <c r="B69" s="2">
        <v>0.11</v>
      </c>
      <c r="C69" s="1">
        <v>0</v>
      </c>
      <c r="D69" s="1">
        <v>3</v>
      </c>
      <c r="E69" s="1" t="s">
        <v>31</v>
      </c>
      <c r="G69" s="2">
        <v>0.11</v>
      </c>
      <c r="H69" s="2">
        <v>1.91</v>
      </c>
      <c r="I69" s="2">
        <v>99999</v>
      </c>
      <c r="J69" s="2">
        <v>99999</v>
      </c>
      <c r="K69" s="1">
        <v>904100</v>
      </c>
      <c r="L69" s="3">
        <v>13.2075</v>
      </c>
      <c r="M69" s="3">
        <v>110.125</v>
      </c>
      <c r="N69" s="3">
        <v>123.3325</v>
      </c>
    </row>
    <row r="70" spans="1:14" x14ac:dyDescent="0.45">
      <c r="A70" s="1">
        <v>903979</v>
      </c>
      <c r="B70" s="2">
        <v>0.77</v>
      </c>
      <c r="C70" s="1">
        <v>0</v>
      </c>
      <c r="D70" s="1">
        <v>1</v>
      </c>
      <c r="E70" s="1" t="s">
        <v>33</v>
      </c>
      <c r="G70" s="2">
        <v>0.77</v>
      </c>
      <c r="H70" s="2">
        <v>12.91</v>
      </c>
      <c r="I70" s="2">
        <v>1.28</v>
      </c>
      <c r="J70" s="2">
        <v>1.9</v>
      </c>
      <c r="K70" s="1">
        <v>903979</v>
      </c>
      <c r="L70" s="3">
        <v>0.91</v>
      </c>
      <c r="M70" s="3">
        <v>0</v>
      </c>
      <c r="N70" s="3">
        <v>0.91</v>
      </c>
    </row>
    <row r="71" spans="1:14" x14ac:dyDescent="0.45">
      <c r="A71" s="1">
        <v>903996</v>
      </c>
      <c r="B71" s="2">
        <v>0.12</v>
      </c>
      <c r="C71" s="1">
        <v>1</v>
      </c>
      <c r="D71" s="1">
        <v>1</v>
      </c>
      <c r="E71" s="1" t="s">
        <v>33</v>
      </c>
      <c r="G71" s="2">
        <v>0.12</v>
      </c>
      <c r="H71" s="2">
        <v>2.0299999999999998</v>
      </c>
      <c r="I71" s="2">
        <v>0.17</v>
      </c>
      <c r="K71" s="1">
        <v>903996</v>
      </c>
      <c r="L71" s="3">
        <v>23.372499999999999</v>
      </c>
      <c r="M71" s="3">
        <v>63.012500000000003</v>
      </c>
      <c r="N71" s="3">
        <v>86.385000000000005</v>
      </c>
    </row>
    <row r="72" spans="1:14" x14ac:dyDescent="0.45">
      <c r="A72" s="1">
        <v>252958</v>
      </c>
      <c r="B72" s="2">
        <v>0.17</v>
      </c>
      <c r="C72" s="1">
        <v>1</v>
      </c>
      <c r="D72" s="1">
        <v>1</v>
      </c>
      <c r="E72" s="1" t="s">
        <v>33</v>
      </c>
      <c r="G72" s="2">
        <v>0.17</v>
      </c>
      <c r="H72" s="2">
        <v>2.92</v>
      </c>
      <c r="I72" s="2">
        <v>0.24</v>
      </c>
      <c r="K72" s="1">
        <v>252958</v>
      </c>
      <c r="L72" s="3">
        <v>17.4725</v>
      </c>
      <c r="M72" s="3">
        <v>37.892499999999998</v>
      </c>
      <c r="N72" s="3">
        <v>55.365000000000002</v>
      </c>
    </row>
    <row r="73" spans="1:14" x14ac:dyDescent="0.45">
      <c r="A73" s="1">
        <v>252959</v>
      </c>
      <c r="B73" s="2">
        <v>0.12</v>
      </c>
      <c r="C73" s="1">
        <v>1</v>
      </c>
      <c r="D73" s="1">
        <v>1</v>
      </c>
      <c r="E73" s="1" t="s">
        <v>33</v>
      </c>
      <c r="G73" s="2">
        <v>0.12</v>
      </c>
      <c r="H73" s="2">
        <v>1.94</v>
      </c>
      <c r="I73" s="2">
        <v>0.21</v>
      </c>
      <c r="K73" s="1">
        <v>252959</v>
      </c>
      <c r="L73" s="3">
        <v>0</v>
      </c>
      <c r="M73" s="3">
        <v>18.032499999999999</v>
      </c>
      <c r="N73" s="3">
        <v>18.032499999999999</v>
      </c>
    </row>
    <row r="74" spans="1:14" x14ac:dyDescent="0.45">
      <c r="A74" s="1">
        <v>252960</v>
      </c>
      <c r="B74" s="2">
        <v>0.12</v>
      </c>
      <c r="C74" s="1">
        <v>1</v>
      </c>
      <c r="D74" s="1">
        <v>1</v>
      </c>
      <c r="E74" s="1" t="s">
        <v>33</v>
      </c>
      <c r="G74" s="2">
        <v>0.12</v>
      </c>
      <c r="H74" s="2">
        <v>2</v>
      </c>
      <c r="I74" s="2">
        <v>0.24</v>
      </c>
      <c r="K74" s="1">
        <v>252960</v>
      </c>
      <c r="L74" s="3">
        <v>15.345000000000001</v>
      </c>
      <c r="M74" s="3">
        <v>0</v>
      </c>
      <c r="N74" s="3">
        <v>15.345000000000001</v>
      </c>
    </row>
    <row r="75" spans="1:14" x14ac:dyDescent="0.45">
      <c r="A75" s="1">
        <v>904016</v>
      </c>
      <c r="B75" s="2">
        <v>0.09</v>
      </c>
      <c r="C75" s="1">
        <v>1</v>
      </c>
      <c r="D75" s="1">
        <v>1</v>
      </c>
      <c r="E75" s="1" t="s">
        <v>33</v>
      </c>
      <c r="G75" s="2">
        <v>0.09</v>
      </c>
      <c r="H75" s="2">
        <v>1.55</v>
      </c>
      <c r="I75" s="2">
        <v>0.42</v>
      </c>
      <c r="K75" s="1">
        <v>904016</v>
      </c>
      <c r="L75" s="3">
        <v>1.4924999999999999</v>
      </c>
      <c r="M75" s="3">
        <v>1.5049999999999999</v>
      </c>
      <c r="N75" s="3">
        <v>2.9975000000000001</v>
      </c>
    </row>
    <row r="76" spans="1:14" x14ac:dyDescent="0.45">
      <c r="A76" s="1">
        <v>271594</v>
      </c>
      <c r="B76" s="2">
        <v>0.11</v>
      </c>
      <c r="C76" s="1">
        <v>1</v>
      </c>
      <c r="D76" s="1">
        <v>1</v>
      </c>
      <c r="E76" s="1" t="s">
        <v>33</v>
      </c>
      <c r="G76" s="2">
        <v>0.11</v>
      </c>
      <c r="H76" s="2">
        <v>1.82</v>
      </c>
      <c r="I76" s="2">
        <v>0.69</v>
      </c>
      <c r="K76" s="1">
        <v>271594</v>
      </c>
      <c r="L76" s="3">
        <v>1.4924999999999999</v>
      </c>
      <c r="M76" s="3">
        <v>1.5049999999999999</v>
      </c>
      <c r="N76" s="3">
        <v>2.9975000000000001</v>
      </c>
    </row>
    <row r="77" spans="1:14" x14ac:dyDescent="0.45">
      <c r="A77" s="1">
        <v>271595</v>
      </c>
      <c r="B77" s="2">
        <v>0.09</v>
      </c>
      <c r="C77" s="1">
        <v>1</v>
      </c>
      <c r="D77" s="1">
        <v>1</v>
      </c>
      <c r="E77" s="1" t="s">
        <v>33</v>
      </c>
      <c r="G77" s="2">
        <v>0.09</v>
      </c>
      <c r="H77" s="2">
        <v>1.55</v>
      </c>
      <c r="I77" s="2">
        <v>0.19</v>
      </c>
      <c r="K77" s="1">
        <v>271595</v>
      </c>
      <c r="L77" s="3">
        <v>0.16</v>
      </c>
      <c r="M77" s="3">
        <v>4.32</v>
      </c>
      <c r="N77" s="3">
        <v>4.4800000000000004</v>
      </c>
    </row>
    <row r="78" spans="1:14" x14ac:dyDescent="0.45">
      <c r="A78" s="1">
        <v>904026</v>
      </c>
      <c r="B78" s="2">
        <v>0.12</v>
      </c>
      <c r="C78" s="1">
        <v>0</v>
      </c>
      <c r="D78" s="1">
        <v>1</v>
      </c>
      <c r="E78" s="1" t="s">
        <v>33</v>
      </c>
      <c r="G78" s="2">
        <v>0.12</v>
      </c>
      <c r="H78" s="2">
        <v>2.0499999999999998</v>
      </c>
      <c r="I78" s="2">
        <v>0.6</v>
      </c>
      <c r="J78" s="2">
        <v>0.38</v>
      </c>
      <c r="K78" s="1">
        <v>904026</v>
      </c>
      <c r="L78" s="3">
        <v>154.44499999999999</v>
      </c>
      <c r="M78" s="3">
        <v>8.7225000000000001</v>
      </c>
      <c r="N78" s="3">
        <v>163.16749999999999</v>
      </c>
    </row>
    <row r="79" spans="1:14" x14ac:dyDescent="0.45">
      <c r="A79" s="1">
        <v>271597</v>
      </c>
      <c r="B79" s="2">
        <v>0.01</v>
      </c>
      <c r="C79" s="1">
        <v>0</v>
      </c>
      <c r="D79" s="1">
        <v>1</v>
      </c>
      <c r="E79" s="1" t="s">
        <v>33</v>
      </c>
      <c r="G79" s="2">
        <v>0.01</v>
      </c>
      <c r="H79" s="2">
        <v>0.11</v>
      </c>
      <c r="I79" s="2">
        <v>0.01</v>
      </c>
      <c r="J79" s="2">
        <v>0.01</v>
      </c>
      <c r="K79" s="1">
        <v>271597</v>
      </c>
      <c r="L79" s="3">
        <v>19.212499999999999</v>
      </c>
      <c r="M79" s="3">
        <v>36.914999999999999</v>
      </c>
      <c r="N79" s="3">
        <v>56.127499999999998</v>
      </c>
    </row>
    <row r="80" spans="1:14" x14ac:dyDescent="0.45">
      <c r="A80" s="1">
        <v>271599</v>
      </c>
      <c r="B80" s="2">
        <v>0.51</v>
      </c>
      <c r="C80" s="1">
        <v>1</v>
      </c>
      <c r="D80" s="1">
        <v>1</v>
      </c>
      <c r="E80" s="1" t="s">
        <v>33</v>
      </c>
      <c r="G80" s="2">
        <v>0.51</v>
      </c>
      <c r="H80" s="2">
        <v>8.43</v>
      </c>
      <c r="I80" s="2">
        <v>0.97</v>
      </c>
      <c r="K80" s="1">
        <v>271599</v>
      </c>
      <c r="L80" s="3">
        <v>4.2975000000000003</v>
      </c>
      <c r="M80" s="3">
        <v>18.432500000000001</v>
      </c>
      <c r="N80" s="3">
        <v>22.73</v>
      </c>
    </row>
    <row r="81" spans="1:14" x14ac:dyDescent="0.45">
      <c r="A81" s="1">
        <v>904062</v>
      </c>
      <c r="B81" s="2">
        <v>0.02</v>
      </c>
      <c r="C81" s="1">
        <v>0</v>
      </c>
      <c r="D81" s="1">
        <v>0</v>
      </c>
      <c r="E81" s="1" t="s">
        <v>34</v>
      </c>
      <c r="F81" s="1">
        <v>223</v>
      </c>
      <c r="G81" s="2">
        <v>0.21</v>
      </c>
      <c r="H81" s="2">
        <v>3.55</v>
      </c>
      <c r="I81" s="2">
        <v>0.51</v>
      </c>
      <c r="J81" s="2">
        <v>0.51</v>
      </c>
      <c r="K81" s="1">
        <v>904062</v>
      </c>
      <c r="L81" s="3">
        <v>27.88</v>
      </c>
      <c r="M81" s="3">
        <v>182.89</v>
      </c>
      <c r="N81" s="3">
        <v>210.77</v>
      </c>
    </row>
    <row r="82" spans="1:14" x14ac:dyDescent="0.45">
      <c r="A82" s="1">
        <v>904084</v>
      </c>
      <c r="B82" s="2">
        <v>0.53</v>
      </c>
      <c r="C82" s="1">
        <v>0</v>
      </c>
      <c r="D82" s="1">
        <v>5</v>
      </c>
      <c r="E82" s="1" t="s">
        <v>32</v>
      </c>
      <c r="G82" s="2">
        <v>0.53</v>
      </c>
      <c r="H82" s="2">
        <v>99999</v>
      </c>
      <c r="I82" s="2">
        <v>0.63</v>
      </c>
      <c r="J82" s="2">
        <v>0.63</v>
      </c>
      <c r="K82" s="1">
        <v>904084</v>
      </c>
      <c r="L82" s="3">
        <v>0</v>
      </c>
      <c r="M82" s="3">
        <v>0</v>
      </c>
      <c r="N82" s="3">
        <v>0</v>
      </c>
    </row>
    <row r="83" spans="1:14" x14ac:dyDescent="0.45">
      <c r="A83" s="1">
        <v>904116</v>
      </c>
      <c r="B83" s="2">
        <v>1.1000000000000001</v>
      </c>
      <c r="C83" s="1">
        <v>0</v>
      </c>
      <c r="D83" s="1">
        <v>5</v>
      </c>
      <c r="E83" s="1" t="s">
        <v>32</v>
      </c>
      <c r="G83" s="2">
        <v>1.1000000000000001</v>
      </c>
      <c r="H83" s="2">
        <v>99999</v>
      </c>
      <c r="I83" s="2">
        <v>1.32</v>
      </c>
      <c r="J83" s="2">
        <v>1.32</v>
      </c>
      <c r="K83" s="1">
        <v>904116</v>
      </c>
      <c r="L83" s="3">
        <v>0</v>
      </c>
      <c r="M83" s="3">
        <v>0</v>
      </c>
      <c r="N83" s="3">
        <v>0</v>
      </c>
    </row>
    <row r="84" spans="1:14" x14ac:dyDescent="0.45">
      <c r="A84" s="1">
        <v>904051</v>
      </c>
      <c r="B84" s="2">
        <v>0.13</v>
      </c>
      <c r="C84" s="1">
        <v>0</v>
      </c>
      <c r="D84" s="1">
        <v>0</v>
      </c>
      <c r="E84" s="1" t="s">
        <v>34</v>
      </c>
      <c r="F84" s="1">
        <v>126</v>
      </c>
      <c r="G84" s="2">
        <v>0.16</v>
      </c>
      <c r="H84" s="2">
        <v>2.67</v>
      </c>
      <c r="I84" s="2">
        <v>0.39</v>
      </c>
      <c r="J84" s="2">
        <v>0.39</v>
      </c>
      <c r="K84" s="1">
        <v>904051</v>
      </c>
      <c r="L84" s="3">
        <v>268.45</v>
      </c>
      <c r="M84" s="3">
        <v>15.66</v>
      </c>
      <c r="N84" s="3">
        <v>284.11</v>
      </c>
    </row>
    <row r="85" spans="1:14" x14ac:dyDescent="0.45">
      <c r="A85" s="1">
        <v>271608</v>
      </c>
      <c r="B85" s="2">
        <v>0.13</v>
      </c>
      <c r="C85" s="1">
        <v>0</v>
      </c>
      <c r="D85" s="1">
        <v>1</v>
      </c>
      <c r="E85" s="1" t="s">
        <v>33</v>
      </c>
      <c r="G85" s="2">
        <v>0.13</v>
      </c>
      <c r="H85" s="2">
        <v>2.11</v>
      </c>
      <c r="I85" s="2">
        <v>1.68</v>
      </c>
      <c r="J85" s="2">
        <v>0.21</v>
      </c>
      <c r="K85" s="1">
        <v>271608</v>
      </c>
      <c r="L85" s="3">
        <v>73.905000000000001</v>
      </c>
      <c r="M85" s="3">
        <v>6.3574999999999999</v>
      </c>
      <c r="N85" s="3">
        <v>80.262500000000003</v>
      </c>
    </row>
    <row r="86" spans="1:14" x14ac:dyDescent="0.45">
      <c r="A86" s="1">
        <v>271613</v>
      </c>
      <c r="B86" s="2">
        <v>0.13</v>
      </c>
      <c r="C86" s="1">
        <v>1</v>
      </c>
      <c r="D86" s="1">
        <v>1</v>
      </c>
      <c r="E86" s="1" t="s">
        <v>33</v>
      </c>
      <c r="G86" s="2">
        <v>0.13</v>
      </c>
      <c r="H86" s="2">
        <v>2.23</v>
      </c>
      <c r="I86" s="2">
        <v>0.33</v>
      </c>
      <c r="K86" s="1">
        <v>271613</v>
      </c>
      <c r="L86" s="3">
        <v>33.814999999999998</v>
      </c>
      <c r="M86" s="3">
        <v>10.79</v>
      </c>
      <c r="N86" s="3">
        <v>44.604999999999997</v>
      </c>
    </row>
    <row r="87" spans="1:14" x14ac:dyDescent="0.45">
      <c r="A87" s="1">
        <v>904014</v>
      </c>
      <c r="B87" s="2">
        <v>0.19</v>
      </c>
      <c r="C87" s="1">
        <v>1</v>
      </c>
      <c r="D87" s="1">
        <v>1</v>
      </c>
      <c r="E87" s="1" t="s">
        <v>33</v>
      </c>
      <c r="G87" s="2">
        <v>0.19</v>
      </c>
      <c r="H87" s="2">
        <v>3.16</v>
      </c>
      <c r="I87" s="2">
        <v>0.67</v>
      </c>
      <c r="K87" s="1">
        <v>904014</v>
      </c>
      <c r="L87" s="3">
        <v>6.0425000000000004</v>
      </c>
      <c r="M87" s="3">
        <v>12.185</v>
      </c>
      <c r="N87" s="3">
        <v>18.227499999999999</v>
      </c>
    </row>
    <row r="88" spans="1:14" x14ac:dyDescent="0.45">
      <c r="A88" s="1">
        <v>271615</v>
      </c>
      <c r="B88" s="2">
        <v>0.32</v>
      </c>
      <c r="C88" s="1">
        <v>1</v>
      </c>
      <c r="D88" s="1">
        <v>1</v>
      </c>
      <c r="E88" s="1" t="s">
        <v>33</v>
      </c>
      <c r="G88" s="2">
        <v>0.32</v>
      </c>
      <c r="H88" s="2">
        <v>5.37</v>
      </c>
      <c r="I88" s="2">
        <v>0.55000000000000004</v>
      </c>
      <c r="K88" s="1">
        <v>271615</v>
      </c>
      <c r="L88" s="3">
        <v>0</v>
      </c>
      <c r="M88" s="3">
        <v>0</v>
      </c>
      <c r="N88" s="3">
        <v>0</v>
      </c>
    </row>
    <row r="89" spans="1:14" x14ac:dyDescent="0.45">
      <c r="A89" s="1">
        <v>271625</v>
      </c>
      <c r="B89" s="2">
        <v>0.02</v>
      </c>
      <c r="C89" s="1">
        <v>-1</v>
      </c>
      <c r="D89" s="1">
        <v>1</v>
      </c>
      <c r="E89" s="1" t="s">
        <v>33</v>
      </c>
      <c r="G89" s="2">
        <v>0.02</v>
      </c>
      <c r="H89" s="2">
        <v>0.32</v>
      </c>
      <c r="J89" s="2">
        <v>0.03</v>
      </c>
      <c r="K89" s="1">
        <v>271625</v>
      </c>
      <c r="L89" s="3">
        <v>224.4675</v>
      </c>
      <c r="M89" s="3">
        <v>286.1925</v>
      </c>
      <c r="N89" s="3">
        <v>510.66</v>
      </c>
    </row>
    <row r="90" spans="1:14" x14ac:dyDescent="0.45">
      <c r="A90" s="1">
        <v>271638</v>
      </c>
      <c r="B90" s="2">
        <v>0.02</v>
      </c>
      <c r="C90" s="1">
        <v>0</v>
      </c>
      <c r="D90" s="1">
        <v>1</v>
      </c>
      <c r="E90" s="1" t="s">
        <v>33</v>
      </c>
      <c r="G90" s="2">
        <v>0.02</v>
      </c>
      <c r="H90" s="2">
        <v>0.28999999999999998</v>
      </c>
      <c r="I90" s="2">
        <v>0.03</v>
      </c>
      <c r="J90" s="2">
        <v>0.03</v>
      </c>
      <c r="K90" s="1">
        <v>271638</v>
      </c>
      <c r="L90" s="3">
        <v>3.2749999999999999</v>
      </c>
      <c r="M90" s="3">
        <v>1.3975</v>
      </c>
      <c r="N90" s="3">
        <v>4.6725000000000003</v>
      </c>
    </row>
    <row r="91" spans="1:14" x14ac:dyDescent="0.45">
      <c r="A91" s="1">
        <v>271657</v>
      </c>
      <c r="B91" s="2">
        <v>0.02</v>
      </c>
      <c r="C91" s="1">
        <v>1</v>
      </c>
      <c r="D91" s="1">
        <v>1</v>
      </c>
      <c r="E91" s="1" t="s">
        <v>33</v>
      </c>
      <c r="G91" s="2">
        <v>0.02</v>
      </c>
      <c r="H91" s="2">
        <v>0.33</v>
      </c>
      <c r="I91" s="2">
        <v>0.03</v>
      </c>
      <c r="K91" s="1">
        <v>271657</v>
      </c>
      <c r="L91" s="3">
        <v>45.817500000000003</v>
      </c>
      <c r="M91" s="3">
        <v>30.1525</v>
      </c>
      <c r="N91" s="3">
        <v>75.97</v>
      </c>
    </row>
    <row r="92" spans="1:14" x14ac:dyDescent="0.45">
      <c r="A92" s="1">
        <v>271658</v>
      </c>
      <c r="B92" s="2">
        <v>0.39</v>
      </c>
      <c r="C92" s="1">
        <v>1</v>
      </c>
      <c r="D92" s="1">
        <v>1</v>
      </c>
      <c r="E92" s="1" t="s">
        <v>33</v>
      </c>
      <c r="G92" s="2">
        <v>0.39</v>
      </c>
      <c r="H92" s="2">
        <v>6.57</v>
      </c>
      <c r="I92" s="2">
        <v>1.88</v>
      </c>
      <c r="K92" s="1">
        <v>271658</v>
      </c>
      <c r="L92" s="3">
        <v>10.77</v>
      </c>
      <c r="M92" s="3">
        <v>11.772500000000001</v>
      </c>
      <c r="N92" s="3">
        <v>22.5425</v>
      </c>
    </row>
    <row r="93" spans="1:14" x14ac:dyDescent="0.45">
      <c r="A93" s="1">
        <v>903992</v>
      </c>
      <c r="B93" s="2">
        <v>0.13</v>
      </c>
      <c r="C93" s="1">
        <v>1</v>
      </c>
      <c r="D93" s="1">
        <v>1</v>
      </c>
      <c r="E93" s="1" t="s">
        <v>33</v>
      </c>
      <c r="G93" s="2">
        <v>0.13</v>
      </c>
      <c r="H93" s="2">
        <v>2.16</v>
      </c>
      <c r="I93" s="2">
        <v>0.22</v>
      </c>
      <c r="K93" s="1">
        <v>903992</v>
      </c>
      <c r="L93" s="3">
        <v>30.572500000000002</v>
      </c>
      <c r="M93" s="3">
        <v>7.5949999999999998</v>
      </c>
      <c r="N93" s="3">
        <v>38.167499999999997</v>
      </c>
    </row>
    <row r="94" spans="1:14" x14ac:dyDescent="0.45">
      <c r="A94" s="1">
        <v>904087</v>
      </c>
      <c r="B94" s="2">
        <v>0.51</v>
      </c>
      <c r="C94" s="1">
        <v>0</v>
      </c>
      <c r="D94" s="1">
        <v>5</v>
      </c>
      <c r="E94" s="1" t="s">
        <v>32</v>
      </c>
      <c r="G94" s="2">
        <v>1.08</v>
      </c>
      <c r="H94" s="2">
        <v>99999</v>
      </c>
      <c r="I94" s="2">
        <v>1.29</v>
      </c>
      <c r="J94" s="2">
        <v>1.29</v>
      </c>
      <c r="K94" s="1">
        <v>904087</v>
      </c>
      <c r="L94" s="3">
        <v>0</v>
      </c>
      <c r="M94" s="3">
        <v>0</v>
      </c>
      <c r="N94" s="3">
        <v>0</v>
      </c>
    </row>
    <row r="95" spans="1:14" x14ac:dyDescent="0.45">
      <c r="A95" s="1">
        <v>904075</v>
      </c>
      <c r="B95" s="2">
        <v>0.19</v>
      </c>
      <c r="C95" s="1">
        <v>0</v>
      </c>
      <c r="D95" s="1">
        <v>0</v>
      </c>
      <c r="E95" s="1" t="s">
        <v>34</v>
      </c>
      <c r="F95" s="1">
        <v>118</v>
      </c>
      <c r="G95" s="2">
        <v>0.28999999999999998</v>
      </c>
      <c r="H95" s="2">
        <v>4.87</v>
      </c>
      <c r="I95" s="2">
        <v>0.7</v>
      </c>
      <c r="J95" s="2">
        <v>0.7</v>
      </c>
      <c r="K95" s="1">
        <v>904075</v>
      </c>
      <c r="L95" s="3">
        <v>27.96</v>
      </c>
      <c r="M95" s="3">
        <v>69.599999999999994</v>
      </c>
      <c r="N95" s="3">
        <v>97.56</v>
      </c>
    </row>
    <row r="96" spans="1:14" x14ac:dyDescent="0.45">
      <c r="A96" s="1">
        <v>904017</v>
      </c>
      <c r="B96" s="2">
        <v>0.26</v>
      </c>
      <c r="C96" s="1">
        <v>1</v>
      </c>
      <c r="D96" s="1">
        <v>1</v>
      </c>
      <c r="E96" s="1" t="s">
        <v>33</v>
      </c>
      <c r="G96" s="2">
        <v>0.26</v>
      </c>
      <c r="H96" s="2">
        <v>4.4000000000000004</v>
      </c>
      <c r="I96" s="2">
        <v>0.47</v>
      </c>
      <c r="K96" s="1">
        <v>904017</v>
      </c>
      <c r="L96" s="3">
        <v>3.2749999999999999</v>
      </c>
      <c r="M96" s="3">
        <v>1.3975</v>
      </c>
      <c r="N96" s="3">
        <v>4.6725000000000003</v>
      </c>
    </row>
    <row r="97" spans="1:14" x14ac:dyDescent="0.45">
      <c r="A97" s="1">
        <v>271689</v>
      </c>
      <c r="B97" s="2">
        <v>0.04</v>
      </c>
      <c r="C97" s="1">
        <v>1</v>
      </c>
      <c r="D97" s="1">
        <v>1</v>
      </c>
      <c r="E97" s="1" t="s">
        <v>33</v>
      </c>
      <c r="G97" s="2">
        <v>0.04</v>
      </c>
      <c r="H97" s="2">
        <v>0.67</v>
      </c>
      <c r="I97" s="2">
        <v>0.1</v>
      </c>
      <c r="K97" s="1">
        <v>271689</v>
      </c>
      <c r="L97" s="3">
        <v>1.0974999999999999</v>
      </c>
      <c r="M97" s="3">
        <v>83.05</v>
      </c>
      <c r="N97" s="3">
        <v>84.147499999999994</v>
      </c>
    </row>
    <row r="98" spans="1:14" x14ac:dyDescent="0.45">
      <c r="A98" s="1">
        <v>904045</v>
      </c>
      <c r="B98" s="2">
        <v>7.0000000000000007E-2</v>
      </c>
      <c r="C98" s="1">
        <v>0</v>
      </c>
      <c r="D98" s="1">
        <v>0</v>
      </c>
      <c r="E98" s="1" t="s">
        <v>34</v>
      </c>
      <c r="F98" s="1">
        <v>131</v>
      </c>
      <c r="G98" s="2">
        <v>0.1</v>
      </c>
      <c r="H98" s="2">
        <v>1.66</v>
      </c>
      <c r="I98" s="2">
        <v>0.24</v>
      </c>
      <c r="J98" s="2">
        <v>0.24</v>
      </c>
      <c r="K98" s="1">
        <v>904045</v>
      </c>
      <c r="L98" s="3">
        <v>38.520000000000003</v>
      </c>
      <c r="M98" s="3">
        <v>39.450000000000003</v>
      </c>
      <c r="N98" s="3">
        <v>77.97</v>
      </c>
    </row>
    <row r="99" spans="1:14" x14ac:dyDescent="0.45">
      <c r="A99" s="1">
        <v>904073</v>
      </c>
      <c r="B99" s="2">
        <v>0.27</v>
      </c>
      <c r="C99" s="1">
        <v>0</v>
      </c>
      <c r="D99" s="1">
        <v>0</v>
      </c>
      <c r="E99" s="1" t="s">
        <v>34</v>
      </c>
      <c r="F99" s="1">
        <v>103</v>
      </c>
      <c r="G99" s="2">
        <v>0.32</v>
      </c>
      <c r="H99" s="2">
        <v>5.34</v>
      </c>
      <c r="I99" s="2">
        <v>0.77</v>
      </c>
      <c r="J99" s="2">
        <v>0.77</v>
      </c>
      <c r="K99" s="1">
        <v>904073</v>
      </c>
      <c r="L99" s="3">
        <v>106.22</v>
      </c>
      <c r="M99" s="3">
        <v>58.12</v>
      </c>
      <c r="N99" s="3">
        <v>164.34</v>
      </c>
    </row>
    <row r="100" spans="1:14" x14ac:dyDescent="0.45">
      <c r="A100" s="1">
        <v>904046</v>
      </c>
      <c r="B100" s="2">
        <v>0.06</v>
      </c>
      <c r="C100" s="1">
        <v>0</v>
      </c>
      <c r="D100" s="1">
        <v>0</v>
      </c>
      <c r="E100" s="1" t="s">
        <v>34</v>
      </c>
      <c r="F100" s="1">
        <v>123</v>
      </c>
      <c r="G100" s="2">
        <v>0.14000000000000001</v>
      </c>
      <c r="H100" s="2">
        <v>2.33</v>
      </c>
      <c r="I100" s="2">
        <v>0.34</v>
      </c>
      <c r="J100" s="2">
        <v>0.34</v>
      </c>
      <c r="K100" s="1">
        <v>904046</v>
      </c>
      <c r="L100" s="3">
        <v>34.909999999999997</v>
      </c>
      <c r="M100" s="3">
        <v>37.82</v>
      </c>
      <c r="N100" s="3">
        <v>72.73</v>
      </c>
    </row>
    <row r="101" spans="1:14" x14ac:dyDescent="0.45">
      <c r="A101" s="1">
        <v>271695</v>
      </c>
      <c r="B101" s="2">
        <v>0.13</v>
      </c>
      <c r="C101" s="1">
        <v>0</v>
      </c>
      <c r="D101" s="1">
        <v>1</v>
      </c>
      <c r="E101" s="1" t="s">
        <v>33</v>
      </c>
      <c r="G101" s="2">
        <v>0.13</v>
      </c>
      <c r="H101" s="2">
        <v>2.09</v>
      </c>
      <c r="I101" s="2">
        <v>0.2</v>
      </c>
      <c r="J101" s="2">
        <v>0.2</v>
      </c>
      <c r="K101" s="1">
        <v>271695</v>
      </c>
      <c r="L101" s="3">
        <v>55.052500000000002</v>
      </c>
      <c r="M101" s="3">
        <v>28.372499999999999</v>
      </c>
      <c r="N101" s="3">
        <v>83.424999999999997</v>
      </c>
    </row>
    <row r="102" spans="1:14" x14ac:dyDescent="0.45">
      <c r="A102" s="1">
        <v>904018</v>
      </c>
      <c r="B102" s="2">
        <v>0.31</v>
      </c>
      <c r="C102" s="1">
        <v>1</v>
      </c>
      <c r="D102" s="1">
        <v>1</v>
      </c>
      <c r="E102" s="1" t="s">
        <v>33</v>
      </c>
      <c r="G102" s="2">
        <v>0.31</v>
      </c>
      <c r="H102" s="2">
        <v>5.09</v>
      </c>
      <c r="I102" s="2">
        <v>0.52</v>
      </c>
      <c r="K102" s="1">
        <v>904018</v>
      </c>
      <c r="L102" s="3">
        <v>0.1575</v>
      </c>
      <c r="M102" s="3">
        <v>0</v>
      </c>
      <c r="N102" s="3">
        <v>0.1575</v>
      </c>
    </row>
    <row r="103" spans="1:14" x14ac:dyDescent="0.45">
      <c r="A103" s="1">
        <v>904043</v>
      </c>
      <c r="B103" s="2">
        <v>0.08</v>
      </c>
      <c r="C103" s="1">
        <v>0</v>
      </c>
      <c r="D103" s="1">
        <v>0</v>
      </c>
      <c r="E103" s="1" t="s">
        <v>34</v>
      </c>
      <c r="F103" s="1">
        <v>35</v>
      </c>
      <c r="G103" s="2">
        <v>0.15</v>
      </c>
      <c r="H103" s="2">
        <v>2.57</v>
      </c>
      <c r="I103" s="2">
        <v>0.37</v>
      </c>
      <c r="J103" s="2">
        <v>0.37</v>
      </c>
      <c r="K103" s="1">
        <v>904043</v>
      </c>
      <c r="L103" s="3">
        <v>129.77000000000001</v>
      </c>
      <c r="M103" s="3">
        <v>59.53</v>
      </c>
      <c r="N103" s="3">
        <v>189.3</v>
      </c>
    </row>
    <row r="104" spans="1:14" x14ac:dyDescent="0.45">
      <c r="A104" s="1">
        <v>271713</v>
      </c>
      <c r="B104" s="2">
        <v>0.34</v>
      </c>
      <c r="C104" s="1">
        <v>1</v>
      </c>
      <c r="D104" s="1">
        <v>1</v>
      </c>
      <c r="E104" s="1" t="s">
        <v>33</v>
      </c>
      <c r="G104" s="2">
        <v>0.34</v>
      </c>
      <c r="H104" s="2">
        <v>99999</v>
      </c>
      <c r="I104" s="2">
        <v>1.38</v>
      </c>
      <c r="K104" s="1">
        <v>271713</v>
      </c>
      <c r="L104" s="3">
        <v>0</v>
      </c>
      <c r="M104" s="3">
        <v>0</v>
      </c>
      <c r="N104" s="3">
        <v>0</v>
      </c>
    </row>
    <row r="105" spans="1:14" x14ac:dyDescent="0.45">
      <c r="A105" s="1">
        <v>904042</v>
      </c>
      <c r="B105" s="2">
        <v>0.22</v>
      </c>
      <c r="C105" s="1">
        <v>0</v>
      </c>
      <c r="D105" s="1">
        <v>0</v>
      </c>
      <c r="E105" s="1" t="s">
        <v>34</v>
      </c>
      <c r="F105" s="1">
        <v>65</v>
      </c>
      <c r="G105" s="2">
        <v>0.34</v>
      </c>
      <c r="H105" s="2">
        <v>5.6</v>
      </c>
      <c r="I105" s="2">
        <v>0.81</v>
      </c>
      <c r="J105" s="2">
        <v>0.81</v>
      </c>
      <c r="K105" s="1">
        <v>904042</v>
      </c>
      <c r="L105" s="3">
        <v>76.66</v>
      </c>
      <c r="M105" s="3">
        <v>412.7</v>
      </c>
      <c r="N105" s="3">
        <v>489.36</v>
      </c>
    </row>
    <row r="106" spans="1:14" x14ac:dyDescent="0.45">
      <c r="A106" s="1">
        <v>274842</v>
      </c>
      <c r="B106" s="2">
        <v>0.5</v>
      </c>
      <c r="C106" s="1">
        <v>0</v>
      </c>
      <c r="D106" s="1">
        <v>1</v>
      </c>
      <c r="E106" s="1" t="s">
        <v>33</v>
      </c>
      <c r="G106" s="2">
        <v>0.5</v>
      </c>
      <c r="H106" s="2">
        <v>8.33</v>
      </c>
      <c r="I106" s="2">
        <v>2.78</v>
      </c>
      <c r="J106" s="2">
        <v>3.41</v>
      </c>
      <c r="K106" s="1">
        <v>274842</v>
      </c>
      <c r="L106" s="3">
        <v>0.81</v>
      </c>
      <c r="M106" s="3">
        <v>0.9425</v>
      </c>
      <c r="N106" s="3">
        <v>1.7524999999999999</v>
      </c>
    </row>
    <row r="107" spans="1:14" x14ac:dyDescent="0.45">
      <c r="A107" s="1">
        <v>904030</v>
      </c>
      <c r="B107" s="2">
        <v>0.4</v>
      </c>
      <c r="C107" s="1">
        <v>0</v>
      </c>
      <c r="D107" s="1">
        <v>1</v>
      </c>
      <c r="E107" s="1" t="s">
        <v>33</v>
      </c>
      <c r="G107" s="2">
        <v>0.4</v>
      </c>
      <c r="H107" s="2">
        <v>6.74</v>
      </c>
      <c r="I107" s="2">
        <v>0.8</v>
      </c>
      <c r="J107" s="2">
        <v>0.73</v>
      </c>
      <c r="K107" s="1">
        <v>904030</v>
      </c>
      <c r="L107" s="3">
        <v>31.395</v>
      </c>
      <c r="M107" s="3">
        <v>2.3725000000000001</v>
      </c>
      <c r="N107" s="3">
        <v>33.767499999999998</v>
      </c>
    </row>
    <row r="108" spans="1:14" x14ac:dyDescent="0.45">
      <c r="A108" s="1">
        <v>277362</v>
      </c>
      <c r="B108" s="2">
        <v>0.17</v>
      </c>
      <c r="C108" s="1">
        <v>1</v>
      </c>
      <c r="D108" s="1">
        <v>1</v>
      </c>
      <c r="E108" s="1" t="s">
        <v>33</v>
      </c>
      <c r="G108" s="2">
        <v>0.17</v>
      </c>
      <c r="H108" s="2">
        <v>2.76</v>
      </c>
      <c r="I108" s="2">
        <v>0.23</v>
      </c>
      <c r="K108" s="1">
        <v>277362</v>
      </c>
      <c r="L108" s="3">
        <v>14.112500000000001</v>
      </c>
      <c r="M108" s="3">
        <v>54.892499999999998</v>
      </c>
      <c r="N108" s="3">
        <v>69.004999999999995</v>
      </c>
    </row>
    <row r="109" spans="1:14" x14ac:dyDescent="0.45">
      <c r="A109" s="1">
        <v>277695</v>
      </c>
      <c r="B109" s="2">
        <v>0.42</v>
      </c>
      <c r="C109" s="1">
        <v>1</v>
      </c>
      <c r="D109" s="1">
        <v>1</v>
      </c>
      <c r="E109" s="1" t="s">
        <v>33</v>
      </c>
      <c r="G109" s="2">
        <v>0.42</v>
      </c>
      <c r="H109" s="2">
        <v>7.07</v>
      </c>
      <c r="I109" s="2">
        <v>0.85</v>
      </c>
      <c r="K109" s="1">
        <v>277695</v>
      </c>
      <c r="L109" s="3">
        <v>2.4249999999999998</v>
      </c>
      <c r="M109" s="3">
        <v>16.324999999999999</v>
      </c>
      <c r="N109" s="3">
        <v>18.75</v>
      </c>
    </row>
    <row r="110" spans="1:14" x14ac:dyDescent="0.45">
      <c r="A110" s="1">
        <v>277696</v>
      </c>
      <c r="B110" s="2">
        <v>0.16</v>
      </c>
      <c r="C110" s="1">
        <v>0</v>
      </c>
      <c r="D110" s="1">
        <v>1</v>
      </c>
      <c r="E110" s="1" t="s">
        <v>33</v>
      </c>
      <c r="G110" s="2">
        <v>0.16</v>
      </c>
      <c r="H110" s="2">
        <v>2.71</v>
      </c>
      <c r="I110" s="2">
        <v>0.34</v>
      </c>
      <c r="J110" s="2">
        <v>0.33</v>
      </c>
      <c r="K110" s="1">
        <v>277696</v>
      </c>
      <c r="L110" s="3">
        <v>16.324999999999999</v>
      </c>
      <c r="M110" s="3">
        <v>2.4249999999999998</v>
      </c>
      <c r="N110" s="3">
        <v>18.75</v>
      </c>
    </row>
    <row r="111" spans="1:14" x14ac:dyDescent="0.45">
      <c r="A111" s="1">
        <v>277697</v>
      </c>
      <c r="B111" s="2">
        <v>0.43</v>
      </c>
      <c r="C111" s="1">
        <v>1</v>
      </c>
      <c r="D111" s="1">
        <v>1</v>
      </c>
      <c r="E111" s="1" t="s">
        <v>33</v>
      </c>
      <c r="G111" s="2">
        <v>0.43</v>
      </c>
      <c r="H111" s="2">
        <v>7.21</v>
      </c>
      <c r="I111" s="2">
        <v>0.75</v>
      </c>
      <c r="K111" s="1">
        <v>277697</v>
      </c>
      <c r="L111" s="3">
        <v>0</v>
      </c>
      <c r="M111" s="3">
        <v>0</v>
      </c>
      <c r="N111" s="3">
        <v>0</v>
      </c>
    </row>
    <row r="112" spans="1:14" x14ac:dyDescent="0.45">
      <c r="A112" s="1">
        <v>283539</v>
      </c>
      <c r="B112" s="2">
        <v>0.4</v>
      </c>
      <c r="C112" s="1">
        <v>0</v>
      </c>
      <c r="D112" s="1">
        <v>1</v>
      </c>
      <c r="E112" s="1" t="s">
        <v>33</v>
      </c>
      <c r="G112" s="2">
        <v>0.4</v>
      </c>
      <c r="H112" s="2">
        <v>6.69</v>
      </c>
      <c r="I112" s="2">
        <v>1.06</v>
      </c>
      <c r="J112" s="2">
        <v>0.64</v>
      </c>
      <c r="K112" s="1">
        <v>283539</v>
      </c>
      <c r="L112" s="3">
        <v>4.1950000000000003</v>
      </c>
      <c r="M112" s="3">
        <v>0.98</v>
      </c>
      <c r="N112" s="3">
        <v>5.1749999999999998</v>
      </c>
    </row>
    <row r="113" spans="1:14" x14ac:dyDescent="0.45">
      <c r="A113" s="1">
        <v>904089</v>
      </c>
      <c r="B113" s="2">
        <v>0.86</v>
      </c>
      <c r="C113" s="1">
        <v>0</v>
      </c>
      <c r="D113" s="1">
        <v>5</v>
      </c>
      <c r="E113" s="1" t="s">
        <v>32</v>
      </c>
      <c r="G113" s="2">
        <v>0.86</v>
      </c>
      <c r="H113" s="2">
        <v>99999</v>
      </c>
      <c r="I113" s="2">
        <v>1.04</v>
      </c>
      <c r="J113" s="2">
        <v>1.04</v>
      </c>
      <c r="K113" s="1">
        <v>904089</v>
      </c>
      <c r="L113" s="3">
        <v>0</v>
      </c>
      <c r="M113" s="3">
        <v>0</v>
      </c>
      <c r="N113" s="3">
        <v>0</v>
      </c>
    </row>
    <row r="114" spans="1:14" x14ac:dyDescent="0.45">
      <c r="A114" s="1">
        <v>903985</v>
      </c>
      <c r="B114" s="2">
        <v>0.43</v>
      </c>
      <c r="C114" s="1">
        <v>0</v>
      </c>
      <c r="D114" s="1">
        <v>1</v>
      </c>
      <c r="E114" s="1" t="s">
        <v>33</v>
      </c>
      <c r="G114" s="2">
        <v>0.43</v>
      </c>
      <c r="H114" s="2">
        <v>7.19</v>
      </c>
      <c r="I114" s="2">
        <v>0.72</v>
      </c>
      <c r="J114" s="2">
        <v>0.74</v>
      </c>
      <c r="K114" s="1">
        <v>903985</v>
      </c>
      <c r="L114" s="3">
        <v>2.4975000000000001</v>
      </c>
      <c r="M114" s="3">
        <v>5.1224999999999996</v>
      </c>
      <c r="N114" s="3">
        <v>7.62</v>
      </c>
    </row>
    <row r="115" spans="1:14" x14ac:dyDescent="0.45">
      <c r="A115" s="1">
        <v>903988</v>
      </c>
      <c r="B115" s="2">
        <v>0.11</v>
      </c>
      <c r="C115" s="1">
        <v>1</v>
      </c>
      <c r="D115" s="1">
        <v>1</v>
      </c>
      <c r="E115" s="1" t="s">
        <v>33</v>
      </c>
      <c r="G115" s="2">
        <v>0.11</v>
      </c>
      <c r="H115" s="2">
        <v>1.83</v>
      </c>
      <c r="I115" s="2">
        <v>0.32</v>
      </c>
      <c r="K115" s="1">
        <v>903988</v>
      </c>
      <c r="L115" s="3">
        <v>14.63</v>
      </c>
      <c r="M115" s="3">
        <v>16.452500000000001</v>
      </c>
      <c r="N115" s="3">
        <v>31.0825</v>
      </c>
    </row>
    <row r="116" spans="1:14" x14ac:dyDescent="0.45">
      <c r="A116" s="1">
        <v>314563</v>
      </c>
      <c r="B116" s="2">
        <v>0.11</v>
      </c>
      <c r="C116" s="1">
        <v>1</v>
      </c>
      <c r="D116" s="1">
        <v>1</v>
      </c>
      <c r="E116" s="1" t="s">
        <v>33</v>
      </c>
      <c r="G116" s="2">
        <v>0.11</v>
      </c>
      <c r="H116" s="2">
        <v>1.91</v>
      </c>
      <c r="I116" s="2">
        <v>0.21</v>
      </c>
      <c r="K116" s="1">
        <v>314563</v>
      </c>
      <c r="L116" s="3">
        <v>1.1299999999999999</v>
      </c>
      <c r="M116" s="3">
        <v>9.76</v>
      </c>
      <c r="N116" s="3">
        <v>10.89</v>
      </c>
    </row>
    <row r="117" spans="1:14" x14ac:dyDescent="0.45">
      <c r="A117" s="1">
        <v>314564</v>
      </c>
      <c r="B117" s="2">
        <v>0.01</v>
      </c>
      <c r="C117" s="1">
        <v>0</v>
      </c>
      <c r="D117" s="1">
        <v>1</v>
      </c>
      <c r="E117" s="1" t="s">
        <v>33</v>
      </c>
      <c r="G117" s="2">
        <v>0.01</v>
      </c>
      <c r="H117" s="2">
        <v>0.12</v>
      </c>
      <c r="I117" s="2">
        <v>0.06</v>
      </c>
      <c r="J117" s="2">
        <v>0.01</v>
      </c>
      <c r="K117" s="1">
        <v>314564</v>
      </c>
      <c r="L117" s="3">
        <v>31.162500000000001</v>
      </c>
      <c r="M117" s="3">
        <v>5.0075000000000003</v>
      </c>
      <c r="N117" s="3">
        <v>36.17</v>
      </c>
    </row>
    <row r="118" spans="1:14" x14ac:dyDescent="0.45">
      <c r="A118" s="1">
        <v>904011</v>
      </c>
      <c r="B118" s="2">
        <v>0.12</v>
      </c>
      <c r="C118" s="1">
        <v>1</v>
      </c>
      <c r="D118" s="1">
        <v>1</v>
      </c>
      <c r="E118" s="1" t="s">
        <v>33</v>
      </c>
      <c r="G118" s="2">
        <v>0.12</v>
      </c>
      <c r="H118" s="2">
        <v>2.08</v>
      </c>
      <c r="I118" s="2">
        <v>0.28999999999999998</v>
      </c>
      <c r="K118" s="1">
        <v>904011</v>
      </c>
      <c r="L118" s="3">
        <v>1.0974999999999999</v>
      </c>
      <c r="M118" s="3">
        <v>83.05</v>
      </c>
      <c r="N118" s="3">
        <v>84.147499999999994</v>
      </c>
    </row>
    <row r="119" spans="1:14" x14ac:dyDescent="0.45">
      <c r="A119" s="1">
        <v>904010</v>
      </c>
      <c r="B119" s="2">
        <v>0.09</v>
      </c>
      <c r="C119" s="1">
        <v>0</v>
      </c>
      <c r="D119" s="1">
        <v>0</v>
      </c>
      <c r="E119" s="1" t="s">
        <v>34</v>
      </c>
      <c r="G119" s="2">
        <v>0.1</v>
      </c>
      <c r="H119" s="2">
        <v>1.67</v>
      </c>
      <c r="I119" s="2">
        <v>0.24</v>
      </c>
      <c r="J119" s="2">
        <v>0.24</v>
      </c>
      <c r="K119" s="1">
        <v>904010</v>
      </c>
      <c r="L119" s="3">
        <v>215.13</v>
      </c>
      <c r="M119" s="3">
        <v>323.08</v>
      </c>
      <c r="N119" s="3">
        <v>538.21</v>
      </c>
    </row>
    <row r="120" spans="1:14" x14ac:dyDescent="0.45">
      <c r="A120" s="1">
        <v>904081</v>
      </c>
      <c r="B120" s="2">
        <v>0.77</v>
      </c>
      <c r="C120" s="1">
        <v>0</v>
      </c>
      <c r="D120" s="1">
        <v>5</v>
      </c>
      <c r="E120" s="1" t="s">
        <v>32</v>
      </c>
      <c r="G120" s="2">
        <v>0.77</v>
      </c>
      <c r="H120" s="2">
        <v>99999</v>
      </c>
      <c r="I120" s="2">
        <v>0.93</v>
      </c>
      <c r="J120" s="2">
        <v>0.93</v>
      </c>
      <c r="K120" s="1">
        <v>904081</v>
      </c>
      <c r="L120" s="3">
        <v>0</v>
      </c>
      <c r="M120" s="3">
        <v>0</v>
      </c>
      <c r="N120" s="3">
        <v>0</v>
      </c>
    </row>
    <row r="121" spans="1:14" x14ac:dyDescent="0.45">
      <c r="A121" s="1">
        <v>904086</v>
      </c>
      <c r="B121" s="2">
        <v>1.06</v>
      </c>
      <c r="C121" s="1">
        <v>0</v>
      </c>
      <c r="D121" s="1">
        <v>5</v>
      </c>
      <c r="E121" s="1" t="s">
        <v>32</v>
      </c>
      <c r="G121" s="2">
        <v>1.06</v>
      </c>
      <c r="H121" s="2">
        <v>99999</v>
      </c>
      <c r="I121" s="2">
        <v>1.27</v>
      </c>
      <c r="J121" s="2">
        <v>1.27</v>
      </c>
      <c r="K121" s="1">
        <v>904086</v>
      </c>
      <c r="L121" s="3">
        <v>0</v>
      </c>
      <c r="M121" s="3">
        <v>0</v>
      </c>
      <c r="N121" s="3">
        <v>0</v>
      </c>
    </row>
    <row r="122" spans="1:14" x14ac:dyDescent="0.45">
      <c r="A122" s="1">
        <v>904097</v>
      </c>
      <c r="B122" s="2">
        <v>0.92</v>
      </c>
      <c r="C122" s="1">
        <v>0</v>
      </c>
      <c r="D122" s="1">
        <v>5</v>
      </c>
      <c r="E122" s="1" t="s">
        <v>32</v>
      </c>
      <c r="G122" s="2">
        <v>0.92</v>
      </c>
      <c r="H122" s="2">
        <v>99999</v>
      </c>
      <c r="I122" s="2">
        <v>1.1000000000000001</v>
      </c>
      <c r="J122" s="2">
        <v>1.1000000000000001</v>
      </c>
      <c r="K122" s="1">
        <v>904097</v>
      </c>
      <c r="L122" s="3">
        <v>0</v>
      </c>
      <c r="M122" s="3">
        <v>0</v>
      </c>
      <c r="N122" s="3">
        <v>0</v>
      </c>
    </row>
    <row r="123" spans="1:14" x14ac:dyDescent="0.45">
      <c r="A123" s="1">
        <v>904118</v>
      </c>
      <c r="B123" s="2">
        <v>0.1</v>
      </c>
      <c r="C123" s="1">
        <v>0</v>
      </c>
      <c r="D123" s="1">
        <v>3</v>
      </c>
      <c r="E123" s="1" t="s">
        <v>31</v>
      </c>
      <c r="G123" s="2">
        <v>0.1</v>
      </c>
      <c r="H123" s="2">
        <v>1.73</v>
      </c>
      <c r="I123" s="2">
        <v>99999</v>
      </c>
      <c r="J123" s="2">
        <v>99999</v>
      </c>
      <c r="K123" s="1">
        <v>904118</v>
      </c>
      <c r="L123" s="3">
        <v>32.494999999999997</v>
      </c>
      <c r="M123" s="3">
        <v>22.405000000000001</v>
      </c>
      <c r="N123" s="3">
        <v>54.9</v>
      </c>
    </row>
    <row r="124" spans="1:14" x14ac:dyDescent="0.45">
      <c r="A124" s="1">
        <v>904020</v>
      </c>
      <c r="B124" s="2">
        <v>0.23</v>
      </c>
      <c r="C124" s="1">
        <v>1</v>
      </c>
      <c r="D124" s="1">
        <v>1</v>
      </c>
      <c r="E124" s="1" t="s">
        <v>33</v>
      </c>
      <c r="G124" s="2">
        <v>0.23</v>
      </c>
      <c r="H124" s="2">
        <v>3.83</v>
      </c>
      <c r="I124" s="2">
        <v>2</v>
      </c>
      <c r="K124" s="1">
        <v>904020</v>
      </c>
      <c r="L124" s="3">
        <v>54.97</v>
      </c>
      <c r="M124" s="3">
        <v>19.9575</v>
      </c>
      <c r="N124" s="3">
        <v>74.927499999999995</v>
      </c>
    </row>
    <row r="125" spans="1:14" x14ac:dyDescent="0.45">
      <c r="A125" s="1">
        <v>904019</v>
      </c>
      <c r="B125" s="2">
        <v>0.14000000000000001</v>
      </c>
      <c r="C125" s="1">
        <v>1</v>
      </c>
      <c r="D125" s="1">
        <v>1</v>
      </c>
      <c r="E125" s="1" t="s">
        <v>33</v>
      </c>
      <c r="G125" s="2">
        <v>0.14000000000000001</v>
      </c>
      <c r="H125" s="2">
        <v>2.41</v>
      </c>
      <c r="I125" s="2">
        <v>0.49</v>
      </c>
      <c r="K125" s="1">
        <v>904019</v>
      </c>
      <c r="L125" s="3">
        <v>2.6524999999999999</v>
      </c>
      <c r="M125" s="3">
        <v>5.7824999999999998</v>
      </c>
      <c r="N125" s="3">
        <v>8.4350000000000005</v>
      </c>
    </row>
    <row r="126" spans="1:14" x14ac:dyDescent="0.45">
      <c r="A126" s="1">
        <v>904074</v>
      </c>
      <c r="B126" s="2">
        <v>0.91</v>
      </c>
      <c r="C126" s="1">
        <v>0</v>
      </c>
      <c r="D126" s="1">
        <v>1</v>
      </c>
      <c r="E126" s="1" t="s">
        <v>33</v>
      </c>
      <c r="G126" s="2">
        <v>0.91</v>
      </c>
      <c r="H126" s="2">
        <v>15.13</v>
      </c>
      <c r="I126" s="2">
        <v>7.92</v>
      </c>
      <c r="J126" s="2">
        <v>1.5</v>
      </c>
      <c r="K126" s="1">
        <v>904074</v>
      </c>
      <c r="L126" s="3">
        <v>0</v>
      </c>
      <c r="M126" s="3">
        <v>0</v>
      </c>
      <c r="N126" s="3">
        <v>0</v>
      </c>
    </row>
    <row r="127" spans="1:14" x14ac:dyDescent="0.45">
      <c r="A127" s="1">
        <v>904056</v>
      </c>
      <c r="B127" s="2">
        <v>0.11</v>
      </c>
      <c r="C127" s="1">
        <v>0</v>
      </c>
      <c r="D127" s="1">
        <v>0</v>
      </c>
      <c r="E127" s="1" t="s">
        <v>34</v>
      </c>
      <c r="F127" s="1">
        <v>171</v>
      </c>
      <c r="G127" s="2">
        <v>0.16</v>
      </c>
      <c r="H127" s="2">
        <v>2.65</v>
      </c>
      <c r="I127" s="2">
        <v>0.38</v>
      </c>
      <c r="J127" s="2">
        <v>0.38</v>
      </c>
      <c r="K127" s="1">
        <v>904056</v>
      </c>
      <c r="L127" s="3">
        <v>25</v>
      </c>
      <c r="M127" s="3">
        <v>149.9</v>
      </c>
      <c r="N127" s="3">
        <v>174.9</v>
      </c>
    </row>
    <row r="128" spans="1:14" x14ac:dyDescent="0.45">
      <c r="A128" s="1">
        <v>903997</v>
      </c>
      <c r="B128" s="2">
        <v>0.05</v>
      </c>
      <c r="C128" s="1">
        <v>1</v>
      </c>
      <c r="D128" s="1">
        <v>1</v>
      </c>
      <c r="E128" s="1" t="s">
        <v>33</v>
      </c>
      <c r="G128" s="2">
        <v>0.05</v>
      </c>
      <c r="H128" s="2">
        <v>0.89</v>
      </c>
      <c r="I128" s="2">
        <v>7.0000000000000007E-2</v>
      </c>
      <c r="K128" s="1">
        <v>903997</v>
      </c>
      <c r="L128" s="3">
        <v>29.375</v>
      </c>
      <c r="M128" s="3">
        <v>73.367500000000007</v>
      </c>
      <c r="N128" s="3">
        <v>102.74250000000001</v>
      </c>
    </row>
    <row r="129" spans="1:14" x14ac:dyDescent="0.45">
      <c r="A129" s="1">
        <v>428040</v>
      </c>
      <c r="B129" s="2">
        <v>0.28999999999999998</v>
      </c>
      <c r="C129" s="1">
        <v>1</v>
      </c>
      <c r="D129" s="1">
        <v>1</v>
      </c>
      <c r="E129" s="1" t="s">
        <v>33</v>
      </c>
      <c r="G129" s="2">
        <v>0.28999999999999998</v>
      </c>
      <c r="H129" s="2">
        <v>4.83</v>
      </c>
      <c r="I129" s="2">
        <v>0.65</v>
      </c>
      <c r="K129" s="1">
        <v>428040</v>
      </c>
      <c r="L129" s="3">
        <v>7.1749999999999998</v>
      </c>
      <c r="M129" s="3">
        <v>10.8675</v>
      </c>
      <c r="N129" s="3">
        <v>18.0425</v>
      </c>
    </row>
    <row r="130" spans="1:14" x14ac:dyDescent="0.45">
      <c r="A130" s="1">
        <v>430410</v>
      </c>
      <c r="B130" s="2">
        <v>0.19</v>
      </c>
      <c r="C130" s="1">
        <v>1</v>
      </c>
      <c r="D130" s="1">
        <v>1</v>
      </c>
      <c r="E130" s="1" t="s">
        <v>33</v>
      </c>
      <c r="G130" s="2">
        <v>0.19</v>
      </c>
      <c r="H130" s="2">
        <v>3.13</v>
      </c>
      <c r="I130" s="2">
        <v>3.52</v>
      </c>
      <c r="K130" s="1">
        <v>430410</v>
      </c>
      <c r="L130" s="3">
        <v>0</v>
      </c>
      <c r="M130" s="3">
        <v>0</v>
      </c>
      <c r="N130" s="3">
        <v>0</v>
      </c>
    </row>
    <row r="131" spans="1:14" x14ac:dyDescent="0.45">
      <c r="A131" s="1">
        <v>904055</v>
      </c>
      <c r="B131" s="2">
        <v>0.05</v>
      </c>
      <c r="C131" s="1">
        <v>0</v>
      </c>
      <c r="D131" s="1">
        <v>0</v>
      </c>
      <c r="E131" s="1" t="s">
        <v>34</v>
      </c>
      <c r="F131" s="1">
        <v>160</v>
      </c>
      <c r="G131" s="2">
        <v>0.12</v>
      </c>
      <c r="H131" s="2">
        <v>2.04</v>
      </c>
      <c r="I131" s="2">
        <v>0.28999999999999998</v>
      </c>
      <c r="J131" s="2">
        <v>0.28999999999999998</v>
      </c>
      <c r="K131" s="1">
        <v>904055</v>
      </c>
      <c r="L131" s="3">
        <v>35.93</v>
      </c>
      <c r="M131" s="3">
        <v>45.97</v>
      </c>
      <c r="N131" s="3">
        <v>81.900000000000006</v>
      </c>
    </row>
    <row r="132" spans="1:14" x14ac:dyDescent="0.45">
      <c r="A132" s="1">
        <v>904057</v>
      </c>
      <c r="B132" s="2">
        <v>0.15</v>
      </c>
      <c r="C132" s="1">
        <v>0</v>
      </c>
      <c r="D132" s="1">
        <v>0</v>
      </c>
      <c r="E132" s="1" t="s">
        <v>34</v>
      </c>
      <c r="F132" s="1">
        <v>165</v>
      </c>
      <c r="G132" s="2">
        <v>0.2</v>
      </c>
      <c r="H132" s="2">
        <v>3.38</v>
      </c>
      <c r="I132" s="2">
        <v>0.49</v>
      </c>
      <c r="J132" s="2">
        <v>0.49</v>
      </c>
      <c r="K132" s="1">
        <v>904057</v>
      </c>
      <c r="L132" s="3">
        <v>17.73</v>
      </c>
      <c r="M132" s="3">
        <v>62.3</v>
      </c>
      <c r="N132" s="3">
        <v>80.03</v>
      </c>
    </row>
    <row r="133" spans="1:14" x14ac:dyDescent="0.45">
      <c r="A133" s="1">
        <v>497282</v>
      </c>
      <c r="B133" s="2">
        <v>0.04</v>
      </c>
      <c r="C133" s="1">
        <v>1</v>
      </c>
      <c r="D133" s="1">
        <v>1</v>
      </c>
      <c r="E133" s="1" t="s">
        <v>33</v>
      </c>
      <c r="G133" s="2">
        <v>0.04</v>
      </c>
      <c r="H133" s="2">
        <v>0.65</v>
      </c>
      <c r="I133" s="2">
        <v>0.14000000000000001</v>
      </c>
      <c r="K133" s="1">
        <v>497282</v>
      </c>
      <c r="L133" s="3">
        <v>4.2874999999999996</v>
      </c>
      <c r="M133" s="3">
        <v>105.7175</v>
      </c>
      <c r="N133" s="3">
        <v>110.005</v>
      </c>
    </row>
    <row r="134" spans="1:14" x14ac:dyDescent="0.45">
      <c r="A134" s="1">
        <v>497284</v>
      </c>
      <c r="B134" s="2">
        <v>0.34</v>
      </c>
      <c r="C134" s="1">
        <v>1</v>
      </c>
      <c r="D134" s="1">
        <v>1</v>
      </c>
      <c r="E134" s="1" t="s">
        <v>33</v>
      </c>
      <c r="G134" s="2">
        <v>0.34</v>
      </c>
      <c r="H134" s="2">
        <v>5.64</v>
      </c>
      <c r="I134" s="2">
        <v>2.31</v>
      </c>
      <c r="K134" s="1">
        <v>497284</v>
      </c>
      <c r="L134" s="3">
        <v>2.38</v>
      </c>
      <c r="M134" s="3">
        <v>1.1174999999999999</v>
      </c>
      <c r="N134" s="3">
        <v>3.4975000000000001</v>
      </c>
    </row>
    <row r="135" spans="1:14" x14ac:dyDescent="0.45">
      <c r="A135" s="1">
        <v>497285</v>
      </c>
      <c r="B135" s="2">
        <v>0.4</v>
      </c>
      <c r="C135" s="1">
        <v>0</v>
      </c>
      <c r="D135" s="1">
        <v>1</v>
      </c>
      <c r="E135" s="1" t="s">
        <v>33</v>
      </c>
      <c r="G135" s="2">
        <v>0.4</v>
      </c>
      <c r="H135" s="2">
        <v>6.66</v>
      </c>
      <c r="I135" s="2">
        <v>0.7</v>
      </c>
      <c r="J135" s="2">
        <v>0.93</v>
      </c>
      <c r="K135" s="1">
        <v>497285</v>
      </c>
      <c r="L135" s="3">
        <v>2.2599999999999998</v>
      </c>
      <c r="M135" s="3">
        <v>0</v>
      </c>
      <c r="N135" s="3">
        <v>2.2599999999999998</v>
      </c>
    </row>
    <row r="136" spans="1:14" x14ac:dyDescent="0.45">
      <c r="A136" s="1">
        <v>497286</v>
      </c>
      <c r="B136" s="2">
        <v>0.22</v>
      </c>
      <c r="C136" s="1">
        <v>0</v>
      </c>
      <c r="D136" s="1">
        <v>1</v>
      </c>
      <c r="E136" s="1" t="s">
        <v>33</v>
      </c>
      <c r="G136" s="2">
        <v>0.22</v>
      </c>
      <c r="H136" s="2">
        <v>3.71</v>
      </c>
      <c r="I136" s="2">
        <v>0.64</v>
      </c>
      <c r="J136" s="2">
        <v>0.44</v>
      </c>
      <c r="K136" s="1">
        <v>497286</v>
      </c>
      <c r="L136" s="3">
        <v>0.62749999999999995</v>
      </c>
      <c r="M136" s="3">
        <v>20.7575</v>
      </c>
      <c r="N136" s="3">
        <v>21.385000000000002</v>
      </c>
    </row>
    <row r="137" spans="1:14" x14ac:dyDescent="0.45">
      <c r="A137" s="1">
        <v>497289</v>
      </c>
      <c r="B137" s="2">
        <v>0.22</v>
      </c>
      <c r="C137" s="1">
        <v>0</v>
      </c>
      <c r="D137" s="1">
        <v>1</v>
      </c>
      <c r="E137" s="1" t="s">
        <v>33</v>
      </c>
      <c r="G137" s="2">
        <v>0.22</v>
      </c>
      <c r="H137" s="2">
        <v>3.68</v>
      </c>
      <c r="I137" s="2">
        <v>0.86</v>
      </c>
      <c r="J137" s="2">
        <v>0.33</v>
      </c>
      <c r="K137" s="1">
        <v>497289</v>
      </c>
      <c r="L137" s="3">
        <v>11.46</v>
      </c>
      <c r="M137" s="3">
        <v>11.0175</v>
      </c>
      <c r="N137" s="3">
        <v>22.477499999999999</v>
      </c>
    </row>
    <row r="138" spans="1:14" x14ac:dyDescent="0.45">
      <c r="A138" s="1">
        <v>497290</v>
      </c>
      <c r="B138" s="2">
        <v>0.08</v>
      </c>
      <c r="C138" s="1">
        <v>1</v>
      </c>
      <c r="D138" s="1">
        <v>1</v>
      </c>
      <c r="E138" s="1" t="s">
        <v>33</v>
      </c>
      <c r="G138" s="2">
        <v>0.08</v>
      </c>
      <c r="H138" s="2">
        <v>1.4</v>
      </c>
      <c r="I138" s="2">
        <v>0.19</v>
      </c>
      <c r="K138" s="1">
        <v>497290</v>
      </c>
      <c r="L138" s="3">
        <v>32.965000000000003</v>
      </c>
      <c r="M138" s="3">
        <v>42.237499999999997</v>
      </c>
      <c r="N138" s="3">
        <v>75.202500000000001</v>
      </c>
    </row>
    <row r="139" spans="1:14" x14ac:dyDescent="0.45">
      <c r="A139" s="1">
        <v>903999</v>
      </c>
      <c r="B139" s="2">
        <v>0.02</v>
      </c>
      <c r="C139" s="1">
        <v>1</v>
      </c>
      <c r="D139" s="1">
        <v>1</v>
      </c>
      <c r="E139" s="1" t="s">
        <v>33</v>
      </c>
      <c r="G139" s="2">
        <v>0.02</v>
      </c>
      <c r="H139" s="2">
        <v>0.26</v>
      </c>
      <c r="I139" s="2">
        <v>0.02</v>
      </c>
      <c r="K139" s="1">
        <v>903999</v>
      </c>
      <c r="L139" s="3">
        <v>1.92</v>
      </c>
      <c r="M139" s="3">
        <v>82.57</v>
      </c>
      <c r="N139" s="3">
        <v>84.49</v>
      </c>
    </row>
    <row r="140" spans="1:14" x14ac:dyDescent="0.45">
      <c r="A140" s="1">
        <v>497342</v>
      </c>
      <c r="B140" s="2">
        <v>0.17</v>
      </c>
      <c r="C140" s="1">
        <v>1</v>
      </c>
      <c r="D140" s="1">
        <v>1</v>
      </c>
      <c r="E140" s="1" t="s">
        <v>33</v>
      </c>
      <c r="G140" s="2">
        <v>0.17</v>
      </c>
      <c r="H140" s="2">
        <v>2.85</v>
      </c>
      <c r="I140" s="2">
        <v>0.37</v>
      </c>
      <c r="K140" s="1">
        <v>497342</v>
      </c>
      <c r="L140" s="3">
        <v>0.02</v>
      </c>
      <c r="M140" s="3">
        <v>4.59</v>
      </c>
      <c r="N140" s="3">
        <v>4.6100000000000003</v>
      </c>
    </row>
    <row r="141" spans="1:14" x14ac:dyDescent="0.45">
      <c r="A141" s="1">
        <v>903984</v>
      </c>
      <c r="B141" s="2">
        <v>0.27</v>
      </c>
      <c r="C141" s="1">
        <v>0</v>
      </c>
      <c r="D141" s="1">
        <v>1</v>
      </c>
      <c r="E141" s="1" t="s">
        <v>33</v>
      </c>
      <c r="G141" s="2">
        <v>0.27</v>
      </c>
      <c r="H141" s="2">
        <v>4.55</v>
      </c>
      <c r="I141" s="2">
        <v>1.53</v>
      </c>
      <c r="J141" s="2">
        <v>0.45</v>
      </c>
      <c r="K141" s="1">
        <v>903984</v>
      </c>
      <c r="L141" s="3">
        <v>34.869999999999997</v>
      </c>
      <c r="M141" s="3">
        <v>9.6199999999999992</v>
      </c>
      <c r="N141" s="3">
        <v>44.49</v>
      </c>
    </row>
    <row r="142" spans="1:14" x14ac:dyDescent="0.45">
      <c r="A142" s="1">
        <v>904009</v>
      </c>
      <c r="B142" s="2">
        <v>0.04</v>
      </c>
      <c r="C142" s="1">
        <v>0</v>
      </c>
      <c r="D142" s="1">
        <v>1</v>
      </c>
      <c r="E142" s="1" t="s">
        <v>33</v>
      </c>
      <c r="G142" s="2">
        <v>0.04</v>
      </c>
      <c r="H142" s="2">
        <v>0.7</v>
      </c>
      <c r="I142" s="2">
        <v>0.06</v>
      </c>
      <c r="J142" s="2">
        <v>0.06</v>
      </c>
      <c r="K142" s="1">
        <v>904009</v>
      </c>
      <c r="L142" s="3">
        <v>41.11</v>
      </c>
      <c r="M142" s="3">
        <v>27.21</v>
      </c>
      <c r="N142" s="3">
        <v>68.319999999999993</v>
      </c>
    </row>
    <row r="143" spans="1:14" x14ac:dyDescent="0.45">
      <c r="A143" s="1">
        <v>497776</v>
      </c>
      <c r="B143" s="2">
        <v>0.09</v>
      </c>
      <c r="C143" s="1">
        <v>1</v>
      </c>
      <c r="D143" s="1">
        <v>1</v>
      </c>
      <c r="E143" s="1" t="s">
        <v>33</v>
      </c>
      <c r="G143" s="2">
        <v>0.09</v>
      </c>
      <c r="H143" s="2">
        <v>1.44</v>
      </c>
      <c r="I143" s="2">
        <v>0.11</v>
      </c>
      <c r="K143" s="1">
        <v>497776</v>
      </c>
      <c r="L143" s="3">
        <v>71.95</v>
      </c>
      <c r="M143" s="3">
        <v>41.295000000000002</v>
      </c>
      <c r="N143" s="3">
        <v>113.245</v>
      </c>
    </row>
    <row r="144" spans="1:14" x14ac:dyDescent="0.45">
      <c r="A144" s="1">
        <v>497777</v>
      </c>
      <c r="B144" s="2">
        <v>0.04</v>
      </c>
      <c r="C144" s="1">
        <v>1</v>
      </c>
      <c r="D144" s="1">
        <v>1</v>
      </c>
      <c r="E144" s="1" t="s">
        <v>33</v>
      </c>
      <c r="G144" s="2">
        <v>0.04</v>
      </c>
      <c r="H144" s="2">
        <v>0.72</v>
      </c>
      <c r="I144" s="2">
        <v>0.06</v>
      </c>
      <c r="K144" s="1">
        <v>497777</v>
      </c>
      <c r="L144" s="3">
        <v>3.2075</v>
      </c>
      <c r="M144" s="3">
        <v>4.5374999999999996</v>
      </c>
      <c r="N144" s="3">
        <v>7.7450000000000001</v>
      </c>
    </row>
    <row r="145" spans="1:14" x14ac:dyDescent="0.45">
      <c r="A145" s="1">
        <v>904008</v>
      </c>
      <c r="B145" s="2">
        <v>0.24</v>
      </c>
      <c r="C145" s="1">
        <v>1</v>
      </c>
      <c r="D145" s="1">
        <v>0</v>
      </c>
      <c r="E145" s="1" t="s">
        <v>34</v>
      </c>
      <c r="G145" s="2">
        <v>0.1</v>
      </c>
      <c r="H145" s="2">
        <v>1.67</v>
      </c>
      <c r="I145" s="2">
        <v>0.24</v>
      </c>
      <c r="K145" s="1">
        <v>904008</v>
      </c>
      <c r="L145" s="3">
        <v>3.2075</v>
      </c>
      <c r="M145" s="3">
        <v>4.5374999999999996</v>
      </c>
      <c r="N145" s="3">
        <v>7.7450000000000001</v>
      </c>
    </row>
    <row r="146" spans="1:14" x14ac:dyDescent="0.45">
      <c r="A146" s="1">
        <v>497957</v>
      </c>
      <c r="B146" s="2">
        <v>0.02</v>
      </c>
      <c r="C146" s="1">
        <v>0</v>
      </c>
      <c r="D146" s="1">
        <v>1</v>
      </c>
      <c r="E146" s="1" t="s">
        <v>33</v>
      </c>
      <c r="G146" s="2">
        <v>0.02</v>
      </c>
      <c r="H146" s="2">
        <v>0.28999999999999998</v>
      </c>
      <c r="I146" s="2">
        <v>0.03</v>
      </c>
      <c r="J146" s="2">
        <v>7.0000000000000007E-2</v>
      </c>
      <c r="K146" s="1">
        <v>497957</v>
      </c>
      <c r="L146" s="3">
        <v>30.767499999999998</v>
      </c>
      <c r="M146" s="3">
        <v>23.9375</v>
      </c>
      <c r="N146" s="3">
        <v>54.704999999999998</v>
      </c>
    </row>
    <row r="147" spans="1:14" x14ac:dyDescent="0.45">
      <c r="A147" s="1">
        <v>904021</v>
      </c>
      <c r="B147" s="2">
        <v>0.25</v>
      </c>
      <c r="C147" s="1">
        <v>1</v>
      </c>
      <c r="D147" s="1">
        <v>1</v>
      </c>
      <c r="E147" s="1" t="s">
        <v>33</v>
      </c>
      <c r="G147" s="2">
        <v>0.25</v>
      </c>
      <c r="H147" s="2">
        <v>4.18</v>
      </c>
      <c r="I147" s="2">
        <v>1.25</v>
      </c>
      <c r="K147" s="1">
        <v>904021</v>
      </c>
      <c r="L147" s="3">
        <v>3.8374999999999999</v>
      </c>
      <c r="M147" s="3">
        <v>5.0199999999999996</v>
      </c>
      <c r="N147" s="3">
        <v>8.8574999999999999</v>
      </c>
    </row>
    <row r="148" spans="1:14" x14ac:dyDescent="0.45">
      <c r="A148" s="1">
        <v>904023</v>
      </c>
      <c r="B148" s="2">
        <v>0.12</v>
      </c>
      <c r="C148" s="1">
        <v>1</v>
      </c>
      <c r="D148" s="1">
        <v>1</v>
      </c>
      <c r="E148" s="1" t="s">
        <v>33</v>
      </c>
      <c r="G148" s="2">
        <v>0.12</v>
      </c>
      <c r="H148" s="2">
        <v>2.06</v>
      </c>
      <c r="I148" s="2">
        <v>0.2</v>
      </c>
      <c r="K148" s="1">
        <v>904023</v>
      </c>
      <c r="L148" s="3">
        <v>16.017499999999998</v>
      </c>
      <c r="M148" s="3">
        <v>18.337499999999999</v>
      </c>
      <c r="N148" s="3">
        <v>34.354999999999997</v>
      </c>
    </row>
    <row r="149" spans="1:14" x14ac:dyDescent="0.45">
      <c r="A149" s="1">
        <v>904059</v>
      </c>
      <c r="B149" s="2">
        <v>0.15</v>
      </c>
      <c r="C149" s="1">
        <v>0</v>
      </c>
      <c r="D149" s="1">
        <v>0</v>
      </c>
      <c r="E149" s="1" t="s">
        <v>34</v>
      </c>
      <c r="F149" s="1">
        <v>179</v>
      </c>
      <c r="G149" s="2">
        <v>0.16</v>
      </c>
      <c r="H149" s="2">
        <v>2.75</v>
      </c>
      <c r="I149" s="2">
        <v>0.4</v>
      </c>
      <c r="J149" s="2">
        <v>0.4</v>
      </c>
      <c r="K149" s="1">
        <v>904059</v>
      </c>
      <c r="L149" s="3">
        <v>38.880000000000003</v>
      </c>
      <c r="M149" s="3">
        <v>126.36</v>
      </c>
      <c r="N149" s="3">
        <v>165.24</v>
      </c>
    </row>
    <row r="150" spans="1:14" x14ac:dyDescent="0.45">
      <c r="A150" s="1">
        <v>500107</v>
      </c>
      <c r="B150" s="2">
        <v>0.09</v>
      </c>
      <c r="C150" s="1">
        <v>0</v>
      </c>
      <c r="D150" s="1">
        <v>1</v>
      </c>
      <c r="E150" s="1" t="s">
        <v>33</v>
      </c>
      <c r="G150" s="2">
        <v>0.09</v>
      </c>
      <c r="H150" s="2">
        <v>1.48</v>
      </c>
      <c r="I150" s="2">
        <v>2.4900000000000002</v>
      </c>
      <c r="J150" s="2">
        <v>1.45</v>
      </c>
      <c r="K150" s="1">
        <v>500107</v>
      </c>
      <c r="L150" s="3">
        <v>95.142499999999998</v>
      </c>
      <c r="M150" s="3">
        <v>7.8849999999999998</v>
      </c>
      <c r="N150" s="3">
        <v>103.0275</v>
      </c>
    </row>
    <row r="151" spans="1:14" x14ac:dyDescent="0.45">
      <c r="A151" s="1">
        <v>500108</v>
      </c>
      <c r="B151" s="2">
        <v>0.1</v>
      </c>
      <c r="C151" s="1">
        <v>1</v>
      </c>
      <c r="D151" s="1">
        <v>1</v>
      </c>
      <c r="E151" s="1" t="s">
        <v>33</v>
      </c>
      <c r="G151" s="2">
        <v>0.1</v>
      </c>
      <c r="H151" s="2">
        <v>1.73</v>
      </c>
      <c r="I151" s="2">
        <v>0.43</v>
      </c>
      <c r="K151" s="1">
        <v>500108</v>
      </c>
      <c r="L151" s="3">
        <v>9.25</v>
      </c>
      <c r="M151" s="3">
        <v>55.82</v>
      </c>
      <c r="N151" s="3">
        <v>65.069999999999993</v>
      </c>
    </row>
    <row r="152" spans="1:14" x14ac:dyDescent="0.45">
      <c r="A152" s="1">
        <v>500110</v>
      </c>
      <c r="B152" s="2">
        <v>0.06</v>
      </c>
      <c r="C152" s="1">
        <v>1</v>
      </c>
      <c r="D152" s="1">
        <v>1</v>
      </c>
      <c r="E152" s="1" t="s">
        <v>33</v>
      </c>
      <c r="G152" s="2">
        <v>0.06</v>
      </c>
      <c r="H152" s="2">
        <v>1.03</v>
      </c>
      <c r="I152" s="2">
        <v>0.67</v>
      </c>
      <c r="K152" s="1">
        <v>500110</v>
      </c>
      <c r="L152" s="3">
        <v>0</v>
      </c>
      <c r="M152" s="3">
        <v>1.0674999999999999</v>
      </c>
      <c r="N152" s="3">
        <v>1.0674999999999999</v>
      </c>
    </row>
    <row r="153" spans="1:14" x14ac:dyDescent="0.45">
      <c r="A153" s="1">
        <v>500112</v>
      </c>
      <c r="B153" s="2">
        <v>0.2</v>
      </c>
      <c r="C153" s="1">
        <v>0</v>
      </c>
      <c r="D153" s="1">
        <v>1</v>
      </c>
      <c r="E153" s="1" t="s">
        <v>33</v>
      </c>
      <c r="G153" s="2">
        <v>0.2</v>
      </c>
      <c r="H153" s="2">
        <v>3.28</v>
      </c>
      <c r="I153" s="2">
        <v>4.59</v>
      </c>
      <c r="J153" s="2">
        <v>0.4</v>
      </c>
      <c r="K153" s="1">
        <v>500112</v>
      </c>
      <c r="L153" s="3">
        <v>85.43</v>
      </c>
      <c r="M153" s="3">
        <v>1.1475</v>
      </c>
      <c r="N153" s="3">
        <v>86.577500000000001</v>
      </c>
    </row>
    <row r="154" spans="1:14" x14ac:dyDescent="0.45">
      <c r="A154" s="1">
        <v>500113</v>
      </c>
      <c r="B154" s="2">
        <v>0.06</v>
      </c>
      <c r="C154" s="1">
        <v>1</v>
      </c>
      <c r="D154" s="1">
        <v>1</v>
      </c>
      <c r="E154" s="1" t="s">
        <v>33</v>
      </c>
      <c r="G154" s="2">
        <v>0.06</v>
      </c>
      <c r="H154" s="2">
        <v>1.06</v>
      </c>
      <c r="I154" s="2">
        <v>0.12</v>
      </c>
      <c r="K154" s="1">
        <v>500113</v>
      </c>
      <c r="L154" s="3">
        <v>17.045000000000002</v>
      </c>
      <c r="M154" s="3">
        <v>94.1</v>
      </c>
      <c r="N154" s="3">
        <v>111.145</v>
      </c>
    </row>
    <row r="155" spans="1:14" x14ac:dyDescent="0.45">
      <c r="A155" s="1">
        <v>500236</v>
      </c>
      <c r="B155" s="2">
        <v>0.73</v>
      </c>
      <c r="C155" s="1">
        <v>0</v>
      </c>
      <c r="D155" s="1">
        <v>1</v>
      </c>
      <c r="E155" s="1" t="s">
        <v>33</v>
      </c>
      <c r="G155" s="2">
        <v>0.73</v>
      </c>
      <c r="H155" s="2">
        <v>12.11</v>
      </c>
      <c r="I155" s="2">
        <v>3.63</v>
      </c>
      <c r="J155" s="2">
        <v>1.73</v>
      </c>
      <c r="K155" s="1">
        <v>500236</v>
      </c>
      <c r="L155" s="3">
        <v>8.0574999999999992</v>
      </c>
      <c r="M155" s="3">
        <v>0</v>
      </c>
      <c r="N155" s="3">
        <v>8.0574999999999992</v>
      </c>
    </row>
    <row r="156" spans="1:14" x14ac:dyDescent="0.45">
      <c r="A156" s="1">
        <v>500298</v>
      </c>
      <c r="B156" s="2">
        <v>0.48</v>
      </c>
      <c r="C156" s="1">
        <v>0</v>
      </c>
      <c r="D156" s="1">
        <v>1</v>
      </c>
      <c r="E156" s="1" t="s">
        <v>33</v>
      </c>
      <c r="G156" s="2">
        <v>0.48</v>
      </c>
      <c r="H156" s="2">
        <v>8.02</v>
      </c>
      <c r="I156" s="2">
        <v>1.91</v>
      </c>
      <c r="J156" s="2">
        <v>0.73</v>
      </c>
      <c r="K156" s="1">
        <v>500298</v>
      </c>
      <c r="L156" s="3">
        <v>180.14750000000001</v>
      </c>
      <c r="M156" s="3">
        <v>0</v>
      </c>
      <c r="N156" s="3">
        <v>180.14750000000001</v>
      </c>
    </row>
    <row r="157" spans="1:14" x14ac:dyDescent="0.45">
      <c r="A157" s="1">
        <v>904072</v>
      </c>
      <c r="B157" s="2">
        <v>0.11</v>
      </c>
      <c r="C157" s="1">
        <v>0</v>
      </c>
      <c r="D157" s="1">
        <v>0</v>
      </c>
      <c r="E157" s="1" t="s">
        <v>34</v>
      </c>
      <c r="F157" s="1">
        <v>141</v>
      </c>
      <c r="G157" s="2">
        <v>0.1</v>
      </c>
      <c r="H157" s="2">
        <v>1.68</v>
      </c>
      <c r="I157" s="2">
        <v>0.24</v>
      </c>
      <c r="J157" s="2">
        <v>0.24</v>
      </c>
      <c r="K157" s="1">
        <v>904072</v>
      </c>
      <c r="L157" s="3">
        <v>79.13</v>
      </c>
      <c r="M157" s="3">
        <v>44.67</v>
      </c>
      <c r="N157" s="3">
        <v>123.8</v>
      </c>
    </row>
    <row r="158" spans="1:14" x14ac:dyDescent="0.45">
      <c r="A158" s="1">
        <v>904007</v>
      </c>
      <c r="B158" s="2">
        <v>0.23</v>
      </c>
      <c r="C158" s="1">
        <v>-1</v>
      </c>
      <c r="D158" s="1">
        <v>0</v>
      </c>
      <c r="E158" s="1" t="s">
        <v>34</v>
      </c>
      <c r="G158" s="2">
        <v>0.1</v>
      </c>
      <c r="H158" s="2">
        <v>1.67</v>
      </c>
      <c r="J158" s="2">
        <v>0.24</v>
      </c>
      <c r="K158" s="1">
        <v>904007</v>
      </c>
      <c r="L158" s="3">
        <v>39.022500000000001</v>
      </c>
      <c r="M158" s="3">
        <v>8.2225000000000001</v>
      </c>
      <c r="N158" s="3">
        <v>47.244999999999997</v>
      </c>
    </row>
    <row r="159" spans="1:14" x14ac:dyDescent="0.45">
      <c r="A159" s="1">
        <v>904038</v>
      </c>
      <c r="B159" s="2">
        <v>0.32</v>
      </c>
      <c r="C159" s="1">
        <v>0</v>
      </c>
      <c r="D159" s="1">
        <v>0</v>
      </c>
      <c r="E159" s="1" t="s">
        <v>34</v>
      </c>
      <c r="F159" s="1">
        <v>37</v>
      </c>
      <c r="G159" s="2">
        <v>0.42</v>
      </c>
      <c r="H159" s="2">
        <v>7.01</v>
      </c>
      <c r="I159" s="2">
        <v>1.01</v>
      </c>
      <c r="J159" s="2">
        <v>1.01</v>
      </c>
      <c r="K159" s="1">
        <v>904038</v>
      </c>
      <c r="L159" s="3">
        <v>289.05</v>
      </c>
      <c r="M159" s="3">
        <v>0</v>
      </c>
      <c r="N159" s="3">
        <v>289.05</v>
      </c>
    </row>
    <row r="160" spans="1:14" x14ac:dyDescent="0.45">
      <c r="A160" s="1">
        <v>903986</v>
      </c>
      <c r="B160" s="2">
        <v>7.0000000000000007E-2</v>
      </c>
      <c r="C160" s="1">
        <v>1</v>
      </c>
      <c r="D160" s="1">
        <v>1</v>
      </c>
      <c r="E160" s="1" t="s">
        <v>33</v>
      </c>
      <c r="G160" s="2">
        <v>7.0000000000000007E-2</v>
      </c>
      <c r="H160" s="2">
        <v>1.21</v>
      </c>
      <c r="I160" s="2">
        <v>0.11</v>
      </c>
      <c r="K160" s="1">
        <v>903986</v>
      </c>
      <c r="L160" s="3">
        <v>17.82</v>
      </c>
      <c r="M160" s="3">
        <v>399.9325</v>
      </c>
      <c r="N160" s="3">
        <v>417.7525</v>
      </c>
    </row>
    <row r="161" spans="1:14" x14ac:dyDescent="0.45">
      <c r="A161" s="1">
        <v>904069</v>
      </c>
      <c r="B161" s="2">
        <v>0.52</v>
      </c>
      <c r="C161" s="1">
        <v>0</v>
      </c>
      <c r="D161" s="1">
        <v>1</v>
      </c>
      <c r="E161" s="1" t="s">
        <v>33</v>
      </c>
      <c r="G161" s="2">
        <v>0.52</v>
      </c>
      <c r="H161" s="2">
        <v>8.67</v>
      </c>
      <c r="I161" s="2">
        <v>0.82</v>
      </c>
      <c r="J161" s="2">
        <v>1.24</v>
      </c>
      <c r="K161" s="1">
        <v>904069</v>
      </c>
      <c r="L161" s="3">
        <v>10.9575</v>
      </c>
      <c r="M161" s="3">
        <v>0.71499999999999997</v>
      </c>
      <c r="N161" s="3">
        <v>11.672499999999999</v>
      </c>
    </row>
    <row r="162" spans="1:14" x14ac:dyDescent="0.45">
      <c r="A162" s="1">
        <v>904022</v>
      </c>
      <c r="B162" s="2">
        <v>0.02</v>
      </c>
      <c r="C162" s="1">
        <v>-1</v>
      </c>
      <c r="D162" s="1">
        <v>1</v>
      </c>
      <c r="E162" s="1" t="s">
        <v>33</v>
      </c>
      <c r="G162" s="2">
        <v>0.02</v>
      </c>
      <c r="H162" s="2">
        <v>0.32</v>
      </c>
      <c r="J162" s="2">
        <v>0.03</v>
      </c>
      <c r="K162" s="1">
        <v>904022</v>
      </c>
      <c r="L162" s="3">
        <v>15.085000000000001</v>
      </c>
      <c r="M162" s="3">
        <v>6.0125000000000002</v>
      </c>
      <c r="N162" s="3">
        <v>21.0975</v>
      </c>
    </row>
    <row r="163" spans="1:14" x14ac:dyDescent="0.45">
      <c r="A163" s="1">
        <v>574569</v>
      </c>
      <c r="B163" s="2">
        <v>0.06</v>
      </c>
      <c r="C163" s="1">
        <v>1</v>
      </c>
      <c r="D163" s="1">
        <v>1</v>
      </c>
      <c r="E163" s="1" t="s">
        <v>33</v>
      </c>
      <c r="G163" s="2">
        <v>0.06</v>
      </c>
      <c r="H163" s="2">
        <v>1.03</v>
      </c>
      <c r="I163" s="2">
        <v>0.21</v>
      </c>
      <c r="K163" s="1">
        <v>574569</v>
      </c>
      <c r="L163" s="3">
        <v>1.0974999999999999</v>
      </c>
      <c r="M163" s="3">
        <v>84.117500000000007</v>
      </c>
      <c r="N163" s="3">
        <v>85.215000000000003</v>
      </c>
    </row>
    <row r="164" spans="1:14" x14ac:dyDescent="0.45">
      <c r="A164" s="1">
        <v>574704</v>
      </c>
      <c r="B164" s="2">
        <v>0.21</v>
      </c>
      <c r="C164" s="1">
        <v>1</v>
      </c>
      <c r="D164" s="1">
        <v>1</v>
      </c>
      <c r="E164" s="1" t="s">
        <v>33</v>
      </c>
      <c r="G164" s="2">
        <v>0.21</v>
      </c>
      <c r="H164" s="2">
        <v>3.52</v>
      </c>
      <c r="I164" s="2">
        <v>0.27</v>
      </c>
      <c r="K164" s="1">
        <v>574704</v>
      </c>
      <c r="L164" s="3">
        <v>8.3224999999999998</v>
      </c>
      <c r="M164" s="3">
        <v>10.4025</v>
      </c>
      <c r="N164" s="3">
        <v>18.725000000000001</v>
      </c>
    </row>
    <row r="165" spans="1:14" x14ac:dyDescent="0.45">
      <c r="A165" s="1">
        <v>574709</v>
      </c>
      <c r="B165" s="2">
        <v>0.28999999999999998</v>
      </c>
      <c r="C165" s="1">
        <v>1</v>
      </c>
      <c r="D165" s="1">
        <v>1</v>
      </c>
      <c r="E165" s="1" t="s">
        <v>33</v>
      </c>
      <c r="G165" s="2">
        <v>0.28999999999999998</v>
      </c>
      <c r="H165" s="2">
        <v>4.88</v>
      </c>
      <c r="I165" s="2">
        <v>0.88</v>
      </c>
      <c r="K165" s="1">
        <v>574709</v>
      </c>
      <c r="L165" s="3">
        <v>50.922499999999999</v>
      </c>
      <c r="M165" s="3">
        <v>9.1925000000000008</v>
      </c>
      <c r="N165" s="3">
        <v>60.115000000000002</v>
      </c>
    </row>
    <row r="166" spans="1:14" x14ac:dyDescent="0.45">
      <c r="A166" s="1">
        <v>574931</v>
      </c>
      <c r="B166" s="2">
        <v>0.36</v>
      </c>
      <c r="C166" s="1">
        <v>0</v>
      </c>
      <c r="D166" s="1">
        <v>1</v>
      </c>
      <c r="E166" s="1" t="s">
        <v>33</v>
      </c>
      <c r="G166" s="2">
        <v>0.36</v>
      </c>
      <c r="H166" s="2">
        <v>5.95</v>
      </c>
      <c r="I166" s="2">
        <v>0.64</v>
      </c>
      <c r="J166" s="2">
        <v>0.56999999999999995</v>
      </c>
      <c r="K166" s="1">
        <v>574931</v>
      </c>
      <c r="L166" s="3">
        <v>1.9175</v>
      </c>
      <c r="M166" s="3">
        <v>2.92</v>
      </c>
      <c r="N166" s="3">
        <v>4.8375000000000004</v>
      </c>
    </row>
    <row r="167" spans="1:14" x14ac:dyDescent="0.45">
      <c r="A167" s="1">
        <v>904015</v>
      </c>
      <c r="B167" s="2">
        <v>0.12</v>
      </c>
      <c r="C167" s="1">
        <v>1</v>
      </c>
      <c r="D167" s="1">
        <v>1</v>
      </c>
      <c r="E167" s="1" t="s">
        <v>33</v>
      </c>
      <c r="G167" s="2">
        <v>0.12</v>
      </c>
      <c r="H167" s="2">
        <v>2.0699999999999998</v>
      </c>
      <c r="I167" s="2">
        <v>0.18</v>
      </c>
      <c r="K167" s="1">
        <v>904015</v>
      </c>
      <c r="L167" s="3">
        <v>3.47</v>
      </c>
      <c r="M167" s="3">
        <v>37.534999999999997</v>
      </c>
      <c r="N167" s="3">
        <v>41.005000000000003</v>
      </c>
    </row>
    <row r="168" spans="1:14" x14ac:dyDescent="0.45">
      <c r="A168" s="1">
        <v>904093</v>
      </c>
      <c r="B168" s="2">
        <v>0.14000000000000001</v>
      </c>
      <c r="C168" s="1">
        <v>0</v>
      </c>
      <c r="D168" s="1">
        <v>0</v>
      </c>
      <c r="E168" s="1" t="s">
        <v>35</v>
      </c>
      <c r="G168" s="2">
        <v>0.1</v>
      </c>
      <c r="H168" s="2">
        <v>2.27</v>
      </c>
      <c r="I168" s="2">
        <v>0.16</v>
      </c>
      <c r="J168" s="2">
        <v>0.16</v>
      </c>
      <c r="K168" s="1">
        <v>904093</v>
      </c>
      <c r="L168" s="3">
        <v>632.51</v>
      </c>
      <c r="M168" s="3">
        <v>300.5</v>
      </c>
      <c r="N168" s="3">
        <v>933.01</v>
      </c>
    </row>
    <row r="169" spans="1:14" x14ac:dyDescent="0.45">
      <c r="A169" s="1">
        <v>904101</v>
      </c>
      <c r="B169" s="2">
        <v>0.04</v>
      </c>
      <c r="C169" s="1">
        <v>0</v>
      </c>
      <c r="D169" s="1">
        <v>3</v>
      </c>
      <c r="E169" s="1" t="s">
        <v>31</v>
      </c>
      <c r="G169" s="2">
        <v>0.04</v>
      </c>
      <c r="H169" s="2">
        <v>0.61</v>
      </c>
      <c r="I169" s="2">
        <v>99999</v>
      </c>
      <c r="J169" s="2">
        <v>99999</v>
      </c>
      <c r="K169" s="1">
        <v>904101</v>
      </c>
      <c r="L169" s="3">
        <v>119.09</v>
      </c>
      <c r="M169" s="3">
        <v>152.4725</v>
      </c>
      <c r="N169" s="3">
        <v>271.5625</v>
      </c>
    </row>
    <row r="170" spans="1:14" x14ac:dyDescent="0.45">
      <c r="A170" s="1">
        <v>575099</v>
      </c>
      <c r="B170" s="2">
        <v>0.05</v>
      </c>
      <c r="C170" s="1">
        <v>1</v>
      </c>
      <c r="D170" s="1">
        <v>1</v>
      </c>
      <c r="E170" s="1" t="s">
        <v>33</v>
      </c>
      <c r="G170" s="2">
        <v>0.05</v>
      </c>
      <c r="H170" s="2">
        <v>0.76</v>
      </c>
      <c r="I170" s="2">
        <v>0.09</v>
      </c>
      <c r="K170" s="1">
        <v>575099</v>
      </c>
      <c r="L170" s="3">
        <v>57.454999999999998</v>
      </c>
      <c r="M170" s="3">
        <v>164.11500000000001</v>
      </c>
      <c r="N170" s="3">
        <v>221.57</v>
      </c>
    </row>
    <row r="171" spans="1:14" x14ac:dyDescent="0.45">
      <c r="A171" s="1">
        <v>575100</v>
      </c>
      <c r="B171" s="2">
        <v>0.25</v>
      </c>
      <c r="C171" s="1">
        <v>0</v>
      </c>
      <c r="D171" s="1">
        <v>1</v>
      </c>
      <c r="E171" s="1" t="s">
        <v>33</v>
      </c>
      <c r="G171" s="2">
        <v>0.25</v>
      </c>
      <c r="H171" s="2">
        <v>4.24</v>
      </c>
      <c r="I171" s="2">
        <v>1.0900000000000001</v>
      </c>
      <c r="J171" s="2">
        <v>3.47</v>
      </c>
      <c r="K171" s="1">
        <v>575100</v>
      </c>
      <c r="L171" s="3">
        <v>10.0025</v>
      </c>
      <c r="M171" s="3">
        <v>17.309999999999999</v>
      </c>
      <c r="N171" s="3">
        <v>27.3125</v>
      </c>
    </row>
    <row r="172" spans="1:14" x14ac:dyDescent="0.45">
      <c r="A172" s="1">
        <v>575417</v>
      </c>
      <c r="B172" s="2">
        <v>0.11</v>
      </c>
      <c r="C172" s="1">
        <v>1</v>
      </c>
      <c r="D172" s="1">
        <v>1</v>
      </c>
      <c r="E172" s="1" t="s">
        <v>33</v>
      </c>
      <c r="G172" s="2">
        <v>0.11</v>
      </c>
      <c r="H172" s="2">
        <v>1.81</v>
      </c>
      <c r="I172" s="2">
        <v>0.18</v>
      </c>
      <c r="K172" s="1">
        <v>575417</v>
      </c>
      <c r="L172" s="3">
        <v>22.17</v>
      </c>
      <c r="M172" s="3">
        <v>14.487500000000001</v>
      </c>
      <c r="N172" s="3">
        <v>36.657499999999999</v>
      </c>
    </row>
    <row r="173" spans="1:14" x14ac:dyDescent="0.45">
      <c r="A173" s="1">
        <v>904058</v>
      </c>
      <c r="B173" s="2">
        <v>0.2</v>
      </c>
      <c r="C173" s="1">
        <v>0</v>
      </c>
      <c r="D173" s="1">
        <v>0</v>
      </c>
      <c r="E173" s="1" t="s">
        <v>34</v>
      </c>
      <c r="F173" s="1">
        <v>219</v>
      </c>
      <c r="G173" s="2">
        <v>0.26</v>
      </c>
      <c r="H173" s="2">
        <v>4.38</v>
      </c>
      <c r="I173" s="2">
        <v>0.63</v>
      </c>
      <c r="J173" s="2">
        <v>0.63</v>
      </c>
      <c r="K173" s="1">
        <v>904058</v>
      </c>
      <c r="L173" s="3">
        <v>66.12</v>
      </c>
      <c r="M173" s="3">
        <v>110.7</v>
      </c>
      <c r="N173" s="3">
        <v>176.82</v>
      </c>
    </row>
    <row r="174" spans="1:14" x14ac:dyDescent="0.45">
      <c r="A174" s="1">
        <v>575420</v>
      </c>
      <c r="B174" s="2">
        <v>0.13</v>
      </c>
      <c r="C174" s="1">
        <v>1</v>
      </c>
      <c r="D174" s="1">
        <v>1</v>
      </c>
      <c r="E174" s="1" t="s">
        <v>33</v>
      </c>
      <c r="G174" s="2">
        <v>0.13</v>
      </c>
      <c r="H174" s="2">
        <v>2.08</v>
      </c>
      <c r="I174" s="2">
        <v>0.39</v>
      </c>
      <c r="K174" s="1">
        <v>575420</v>
      </c>
      <c r="L174" s="3">
        <v>11.82</v>
      </c>
      <c r="M174" s="3">
        <v>24.2225</v>
      </c>
      <c r="N174" s="3">
        <v>36.042499999999997</v>
      </c>
    </row>
    <row r="175" spans="1:14" x14ac:dyDescent="0.45">
      <c r="A175" s="1">
        <v>904024</v>
      </c>
      <c r="B175" s="2">
        <v>0.12</v>
      </c>
      <c r="C175" s="1">
        <v>1</v>
      </c>
      <c r="D175" s="1">
        <v>1</v>
      </c>
      <c r="E175" s="1" t="s">
        <v>33</v>
      </c>
      <c r="G175" s="2">
        <v>0.12</v>
      </c>
      <c r="H175" s="2">
        <v>1.98</v>
      </c>
      <c r="I175" s="2">
        <v>1.36</v>
      </c>
      <c r="K175" s="1">
        <v>904024</v>
      </c>
      <c r="L175" s="3">
        <v>0.41499999999999998</v>
      </c>
      <c r="M175" s="3">
        <v>4.5324999999999998</v>
      </c>
      <c r="N175" s="3">
        <v>4.9474999999999998</v>
      </c>
    </row>
    <row r="176" spans="1:14" x14ac:dyDescent="0.45">
      <c r="A176" s="1">
        <v>575422</v>
      </c>
      <c r="B176" s="2">
        <v>0.17</v>
      </c>
      <c r="C176" s="1">
        <v>1</v>
      </c>
      <c r="D176" s="1">
        <v>1</v>
      </c>
      <c r="E176" s="1" t="s">
        <v>33</v>
      </c>
      <c r="G176" s="2">
        <v>0.17</v>
      </c>
      <c r="H176" s="2">
        <v>2.81</v>
      </c>
      <c r="I176" s="2">
        <v>0.27</v>
      </c>
      <c r="K176" s="1">
        <v>575422</v>
      </c>
      <c r="L176" s="3">
        <v>7.3125</v>
      </c>
      <c r="M176" s="3">
        <v>0</v>
      </c>
      <c r="N176" s="3">
        <v>7.3125</v>
      </c>
    </row>
    <row r="177" spans="1:14" x14ac:dyDescent="0.45">
      <c r="A177" s="1">
        <v>904025</v>
      </c>
      <c r="B177" s="2">
        <v>0.06</v>
      </c>
      <c r="C177" s="1">
        <v>1</v>
      </c>
      <c r="D177" s="1">
        <v>1</v>
      </c>
      <c r="E177" s="1" t="s">
        <v>33</v>
      </c>
      <c r="G177" s="2">
        <v>0.06</v>
      </c>
      <c r="H177" s="2">
        <v>1.04</v>
      </c>
      <c r="I177" s="2">
        <v>0.11</v>
      </c>
      <c r="K177" s="1">
        <v>904025</v>
      </c>
      <c r="L177" s="3">
        <v>29.037500000000001</v>
      </c>
      <c r="M177" s="3">
        <v>17.135000000000002</v>
      </c>
      <c r="N177" s="3">
        <v>46.172499999999999</v>
      </c>
    </row>
    <row r="178" spans="1:14" x14ac:dyDescent="0.45">
      <c r="A178" s="1">
        <v>575424</v>
      </c>
      <c r="B178" s="2">
        <v>0.17</v>
      </c>
      <c r="C178" s="1">
        <v>1</v>
      </c>
      <c r="D178" s="1">
        <v>1</v>
      </c>
      <c r="E178" s="1" t="s">
        <v>33</v>
      </c>
      <c r="G178" s="2">
        <v>0.17</v>
      </c>
      <c r="H178" s="2">
        <v>2.8</v>
      </c>
      <c r="I178" s="2">
        <v>0.24</v>
      </c>
      <c r="K178" s="1">
        <v>575424</v>
      </c>
      <c r="L178" s="3">
        <v>226.69</v>
      </c>
      <c r="M178" s="3">
        <v>311.33</v>
      </c>
      <c r="N178" s="3">
        <v>538.02</v>
      </c>
    </row>
    <row r="179" spans="1:14" x14ac:dyDescent="0.45">
      <c r="A179" s="1">
        <v>575425</v>
      </c>
      <c r="B179" s="2">
        <v>0.03</v>
      </c>
      <c r="C179" s="1">
        <v>1</v>
      </c>
      <c r="D179" s="1">
        <v>1</v>
      </c>
      <c r="E179" s="1" t="s">
        <v>33</v>
      </c>
      <c r="G179" s="2">
        <v>0.03</v>
      </c>
      <c r="H179" s="2">
        <v>0.55000000000000004</v>
      </c>
      <c r="I179" s="2">
        <v>0.13</v>
      </c>
      <c r="K179" s="1">
        <v>575425</v>
      </c>
      <c r="L179" s="3">
        <v>103.53</v>
      </c>
      <c r="M179" s="3">
        <v>78.032499999999999</v>
      </c>
      <c r="N179" s="3">
        <v>181.5625</v>
      </c>
    </row>
    <row r="180" spans="1:14" x14ac:dyDescent="0.45">
      <c r="A180" s="1">
        <v>575426</v>
      </c>
      <c r="B180" s="2">
        <v>0.17</v>
      </c>
      <c r="C180" s="1">
        <v>1</v>
      </c>
      <c r="D180" s="1">
        <v>1</v>
      </c>
      <c r="E180" s="1" t="s">
        <v>33</v>
      </c>
      <c r="G180" s="2">
        <v>0.17</v>
      </c>
      <c r="H180" s="2">
        <v>2.86</v>
      </c>
      <c r="I180" s="2">
        <v>0.22</v>
      </c>
      <c r="K180" s="1">
        <v>575426</v>
      </c>
      <c r="L180" s="3">
        <v>8.9049999999999994</v>
      </c>
      <c r="M180" s="3">
        <v>14.85</v>
      </c>
      <c r="N180" s="3">
        <v>23.754999999999999</v>
      </c>
    </row>
    <row r="181" spans="1:14" x14ac:dyDescent="0.45">
      <c r="A181" s="1">
        <v>575506</v>
      </c>
      <c r="B181" s="2">
        <v>7.0000000000000007E-2</v>
      </c>
      <c r="C181" s="1">
        <v>1</v>
      </c>
      <c r="D181" s="1">
        <v>1</v>
      </c>
      <c r="E181" s="1" t="s">
        <v>33</v>
      </c>
      <c r="G181" s="2">
        <v>7.0000000000000007E-2</v>
      </c>
      <c r="H181" s="2">
        <v>1.1299999999999999</v>
      </c>
      <c r="I181" s="2">
        <v>0.11</v>
      </c>
      <c r="K181" s="1">
        <v>575506</v>
      </c>
      <c r="L181" s="3">
        <v>10.605</v>
      </c>
      <c r="M181" s="3">
        <v>12.8375</v>
      </c>
      <c r="N181" s="3">
        <v>23.442499999999999</v>
      </c>
    </row>
    <row r="182" spans="1:14" x14ac:dyDescent="0.45">
      <c r="A182" s="1">
        <v>904080</v>
      </c>
      <c r="B182" s="2">
        <v>0.55000000000000004</v>
      </c>
      <c r="C182" s="1">
        <v>0</v>
      </c>
      <c r="D182" s="1">
        <v>5</v>
      </c>
      <c r="E182" s="1" t="s">
        <v>32</v>
      </c>
      <c r="G182" s="2">
        <v>0.67</v>
      </c>
      <c r="H182" s="2">
        <v>99999</v>
      </c>
      <c r="I182" s="2">
        <v>0.8</v>
      </c>
      <c r="J182" s="2">
        <v>0.8</v>
      </c>
      <c r="K182" s="1">
        <v>904080</v>
      </c>
      <c r="L182" s="3">
        <v>0</v>
      </c>
      <c r="M182" s="3">
        <v>0</v>
      </c>
      <c r="N182" s="3">
        <v>0</v>
      </c>
    </row>
    <row r="183" spans="1:14" x14ac:dyDescent="0.45">
      <c r="A183" s="1">
        <v>578147</v>
      </c>
      <c r="B183" s="2">
        <v>0.84</v>
      </c>
      <c r="C183" s="1">
        <v>1</v>
      </c>
      <c r="D183" s="1">
        <v>1</v>
      </c>
      <c r="E183" s="1" t="s">
        <v>33</v>
      </c>
      <c r="G183" s="2">
        <v>0.84</v>
      </c>
      <c r="H183" s="2">
        <v>99999</v>
      </c>
      <c r="I183" s="2">
        <v>2.12</v>
      </c>
      <c r="K183" s="1">
        <v>578147</v>
      </c>
      <c r="L183" s="3">
        <v>0</v>
      </c>
      <c r="M183" s="3">
        <v>0</v>
      </c>
      <c r="N183" s="3">
        <v>0</v>
      </c>
    </row>
    <row r="184" spans="1:14" x14ac:dyDescent="0.45">
      <c r="A184" s="1">
        <v>578148</v>
      </c>
      <c r="B184" s="2">
        <v>0.5</v>
      </c>
      <c r="C184" s="1">
        <v>1</v>
      </c>
      <c r="D184" s="1">
        <v>1</v>
      </c>
      <c r="E184" s="1" t="s">
        <v>33</v>
      </c>
      <c r="G184" s="2">
        <v>0.5</v>
      </c>
      <c r="H184" s="2">
        <v>99999</v>
      </c>
      <c r="I184" s="2">
        <v>0.95</v>
      </c>
      <c r="K184" s="1">
        <v>578148</v>
      </c>
      <c r="L184" s="3">
        <v>0</v>
      </c>
      <c r="M184" s="3">
        <v>0</v>
      </c>
      <c r="N184" s="3">
        <v>0</v>
      </c>
    </row>
    <row r="185" spans="1:14" x14ac:dyDescent="0.45">
      <c r="A185" s="1">
        <v>578149</v>
      </c>
      <c r="B185" s="2">
        <v>0.12</v>
      </c>
      <c r="C185" s="1">
        <v>1</v>
      </c>
      <c r="D185" s="1">
        <v>1</v>
      </c>
      <c r="E185" s="1" t="s">
        <v>33</v>
      </c>
      <c r="G185" s="2">
        <v>0.12</v>
      </c>
      <c r="H185" s="2">
        <v>1.97</v>
      </c>
      <c r="I185" s="2">
        <v>0.18</v>
      </c>
      <c r="K185" s="1">
        <v>578149</v>
      </c>
      <c r="L185" s="3">
        <v>0</v>
      </c>
      <c r="M185" s="3">
        <v>1.0674999999999999</v>
      </c>
      <c r="N185" s="3">
        <v>1.0674999999999999</v>
      </c>
    </row>
    <row r="186" spans="1:14" x14ac:dyDescent="0.45">
      <c r="A186" s="1">
        <v>904003</v>
      </c>
      <c r="B186" s="2">
        <v>0.02</v>
      </c>
      <c r="C186" s="1">
        <v>0</v>
      </c>
      <c r="D186" s="1">
        <v>0</v>
      </c>
      <c r="E186" s="1" t="s">
        <v>34</v>
      </c>
      <c r="G186" s="2">
        <v>0.1</v>
      </c>
      <c r="H186" s="2">
        <v>1.67</v>
      </c>
      <c r="I186" s="2">
        <v>0.24</v>
      </c>
      <c r="J186" s="2">
        <v>0.24</v>
      </c>
      <c r="K186" s="1">
        <v>904003</v>
      </c>
      <c r="L186" s="3">
        <v>55.54</v>
      </c>
      <c r="M186" s="3">
        <v>39.46</v>
      </c>
      <c r="N186" s="3">
        <v>95</v>
      </c>
    </row>
    <row r="187" spans="1:14" x14ac:dyDescent="0.45">
      <c r="A187" s="1">
        <v>904006</v>
      </c>
      <c r="B187" s="2">
        <v>0.25</v>
      </c>
      <c r="C187" s="1">
        <v>1</v>
      </c>
      <c r="D187" s="1">
        <v>1</v>
      </c>
      <c r="E187" s="1" t="s">
        <v>33</v>
      </c>
      <c r="G187" s="2">
        <v>0.25</v>
      </c>
      <c r="H187" s="2">
        <v>4.1500000000000004</v>
      </c>
      <c r="I187" s="2">
        <v>0.28999999999999998</v>
      </c>
      <c r="K187" s="1">
        <v>904006</v>
      </c>
      <c r="L187" s="3">
        <v>8.2225000000000001</v>
      </c>
      <c r="M187" s="3">
        <v>39.022500000000001</v>
      </c>
      <c r="N187" s="3">
        <v>47.244999999999997</v>
      </c>
    </row>
    <row r="188" spans="1:14" x14ac:dyDescent="0.45">
      <c r="A188" s="1">
        <v>697494</v>
      </c>
      <c r="B188" s="2">
        <v>0.42</v>
      </c>
      <c r="C188" s="1">
        <v>1</v>
      </c>
      <c r="D188" s="1">
        <v>1</v>
      </c>
      <c r="E188" s="1" t="s">
        <v>33</v>
      </c>
      <c r="G188" s="2">
        <v>0.42</v>
      </c>
      <c r="H188" s="2">
        <v>6.95</v>
      </c>
      <c r="I188" s="2">
        <v>2.3199999999999998</v>
      </c>
      <c r="K188" s="1">
        <v>697494</v>
      </c>
      <c r="L188" s="3">
        <v>0</v>
      </c>
      <c r="M188" s="3">
        <v>0</v>
      </c>
      <c r="N188" s="3">
        <v>0</v>
      </c>
    </row>
    <row r="189" spans="1:14" x14ac:dyDescent="0.45">
      <c r="A189" s="1">
        <v>904037</v>
      </c>
      <c r="B189" s="2">
        <v>0.19</v>
      </c>
      <c r="C189" s="1">
        <v>0</v>
      </c>
      <c r="D189" s="1">
        <v>0</v>
      </c>
      <c r="E189" s="1" t="s">
        <v>34</v>
      </c>
      <c r="F189" s="1">
        <v>30</v>
      </c>
      <c r="G189" s="2">
        <v>0.27</v>
      </c>
      <c r="H189" s="2">
        <v>4.43</v>
      </c>
      <c r="I189" s="2">
        <v>0.64</v>
      </c>
      <c r="J189" s="2">
        <v>0.64</v>
      </c>
      <c r="K189" s="1">
        <v>904037</v>
      </c>
      <c r="L189" s="3">
        <v>38.39</v>
      </c>
      <c r="M189" s="3">
        <v>10.37</v>
      </c>
      <c r="N189" s="3">
        <v>48.76</v>
      </c>
    </row>
    <row r="190" spans="1:14" x14ac:dyDescent="0.45">
      <c r="A190" s="1">
        <v>904004</v>
      </c>
      <c r="B190" s="2">
        <v>0.05</v>
      </c>
      <c r="C190" s="1">
        <v>0</v>
      </c>
      <c r="D190" s="1">
        <v>1</v>
      </c>
      <c r="E190" s="1" t="s">
        <v>33</v>
      </c>
      <c r="G190" s="2">
        <v>0.05</v>
      </c>
      <c r="H190" s="2">
        <v>0.86</v>
      </c>
      <c r="I190" s="2">
        <v>0.36</v>
      </c>
      <c r="J190" s="2">
        <v>0.21</v>
      </c>
      <c r="K190" s="1">
        <v>904004</v>
      </c>
      <c r="L190" s="3">
        <v>57.72</v>
      </c>
      <c r="M190" s="3">
        <v>90.88</v>
      </c>
      <c r="N190" s="3">
        <v>148.6</v>
      </c>
    </row>
    <row r="191" spans="1:14" x14ac:dyDescent="0.45">
      <c r="A191" s="1">
        <v>797310</v>
      </c>
      <c r="B191" s="2">
        <v>0.06</v>
      </c>
      <c r="C191" s="1">
        <v>1</v>
      </c>
      <c r="D191" s="1">
        <v>1</v>
      </c>
      <c r="E191" s="1" t="s">
        <v>33</v>
      </c>
      <c r="G191" s="2">
        <v>0.06</v>
      </c>
      <c r="H191" s="2">
        <v>0.93</v>
      </c>
      <c r="I191" s="2">
        <v>0.09</v>
      </c>
      <c r="K191" s="1">
        <v>797310</v>
      </c>
      <c r="L191" s="3">
        <v>132.69749999999999</v>
      </c>
      <c r="M191" s="3">
        <v>31.142499999999998</v>
      </c>
      <c r="N191" s="3">
        <v>163.84</v>
      </c>
    </row>
    <row r="192" spans="1:14" x14ac:dyDescent="0.45">
      <c r="A192" s="1">
        <v>807709</v>
      </c>
      <c r="B192" s="2">
        <v>0.08</v>
      </c>
      <c r="C192" s="1">
        <v>1</v>
      </c>
      <c r="D192" s="1">
        <v>1</v>
      </c>
      <c r="E192" s="1" t="s">
        <v>33</v>
      </c>
      <c r="G192" s="2">
        <v>0.08</v>
      </c>
      <c r="H192" s="2">
        <v>1.35</v>
      </c>
      <c r="I192" s="2">
        <v>0.18</v>
      </c>
      <c r="K192" s="1">
        <v>807709</v>
      </c>
      <c r="L192" s="3">
        <v>0</v>
      </c>
      <c r="M192" s="3">
        <v>0</v>
      </c>
      <c r="N192" s="3">
        <v>0</v>
      </c>
    </row>
    <row r="193" spans="1:14" x14ac:dyDescent="0.45">
      <c r="A193" s="1">
        <v>904000</v>
      </c>
      <c r="B193" s="2">
        <v>0.04</v>
      </c>
      <c r="C193" s="1">
        <v>1</v>
      </c>
      <c r="D193" s="1">
        <v>1</v>
      </c>
      <c r="E193" s="1" t="s">
        <v>33</v>
      </c>
      <c r="G193" s="2">
        <v>0.04</v>
      </c>
      <c r="H193" s="2">
        <v>0.62</v>
      </c>
      <c r="I193" s="2">
        <v>0.05</v>
      </c>
      <c r="K193" s="1">
        <v>904000</v>
      </c>
      <c r="L193" s="3">
        <v>5.1950000000000003</v>
      </c>
      <c r="M193" s="3">
        <v>83.967500000000001</v>
      </c>
      <c r="N193" s="3">
        <v>89.162499999999994</v>
      </c>
    </row>
    <row r="194" spans="1:14" x14ac:dyDescent="0.45">
      <c r="A194" s="1">
        <v>904002</v>
      </c>
      <c r="B194" s="2">
        <v>0.12</v>
      </c>
      <c r="C194" s="1">
        <v>1</v>
      </c>
      <c r="D194" s="1">
        <v>0</v>
      </c>
      <c r="E194" s="1" t="s">
        <v>34</v>
      </c>
      <c r="G194" s="2">
        <v>0.1</v>
      </c>
      <c r="H194" s="2">
        <v>1.67</v>
      </c>
      <c r="I194" s="2">
        <v>0.24</v>
      </c>
      <c r="K194" s="1">
        <v>904002</v>
      </c>
      <c r="L194" s="3">
        <v>163.0625</v>
      </c>
      <c r="M194" s="3">
        <v>110.3925</v>
      </c>
      <c r="N194" s="3">
        <v>273.45499999999998</v>
      </c>
    </row>
    <row r="195" spans="1:14" x14ac:dyDescent="0.45">
      <c r="A195" s="1">
        <v>904001</v>
      </c>
      <c r="B195" s="2">
        <v>0.1</v>
      </c>
      <c r="C195" s="1">
        <v>-1</v>
      </c>
      <c r="D195" s="1">
        <v>0</v>
      </c>
      <c r="E195" s="1" t="s">
        <v>34</v>
      </c>
      <c r="G195" s="2">
        <v>0.1</v>
      </c>
      <c r="H195" s="2">
        <v>1.67</v>
      </c>
      <c r="J195" s="2">
        <v>0.24</v>
      </c>
      <c r="K195" s="1">
        <v>904001</v>
      </c>
      <c r="L195" s="3">
        <v>1.1174999999999999</v>
      </c>
      <c r="M195" s="3">
        <v>280.60750000000002</v>
      </c>
      <c r="N195" s="3">
        <v>281.72500000000002</v>
      </c>
    </row>
    <row r="196" spans="1:14" x14ac:dyDescent="0.45">
      <c r="A196" s="1">
        <v>904032</v>
      </c>
      <c r="B196" s="2">
        <v>0.56999999999999995</v>
      </c>
      <c r="C196" s="1">
        <v>0</v>
      </c>
      <c r="D196" s="1">
        <v>1</v>
      </c>
      <c r="E196" s="1" t="s">
        <v>33</v>
      </c>
      <c r="G196" s="2">
        <v>0.56999999999999995</v>
      </c>
      <c r="H196" s="2">
        <v>9.4600000000000009</v>
      </c>
      <c r="I196" s="2">
        <v>2.1</v>
      </c>
      <c r="J196" s="2">
        <v>1.22</v>
      </c>
      <c r="K196" s="1">
        <v>904032</v>
      </c>
      <c r="L196" s="3">
        <v>42.98</v>
      </c>
      <c r="M196" s="3">
        <v>23.06</v>
      </c>
      <c r="N196" s="3">
        <v>66.040000000000006</v>
      </c>
    </row>
    <row r="197" spans="1:14" x14ac:dyDescent="0.45">
      <c r="A197" s="1">
        <v>904033</v>
      </c>
      <c r="B197" s="2">
        <v>0.25</v>
      </c>
      <c r="C197" s="1">
        <v>0</v>
      </c>
      <c r="D197" s="1">
        <v>0</v>
      </c>
      <c r="E197" s="1" t="s">
        <v>34</v>
      </c>
      <c r="F197" s="1">
        <v>11</v>
      </c>
      <c r="G197" s="2">
        <v>0.39</v>
      </c>
      <c r="H197" s="2">
        <v>6.53</v>
      </c>
      <c r="I197" s="2">
        <v>0.94</v>
      </c>
      <c r="J197" s="2">
        <v>0.94</v>
      </c>
      <c r="K197" s="1">
        <v>904033</v>
      </c>
      <c r="L197" s="3">
        <v>10.63</v>
      </c>
      <c r="M197" s="3">
        <v>22.08</v>
      </c>
      <c r="N197" s="3">
        <v>32.71</v>
      </c>
    </row>
    <row r="198" spans="1:14" x14ac:dyDescent="0.45">
      <c r="A198" s="1">
        <v>904036</v>
      </c>
      <c r="B198" s="2">
        <v>0.14000000000000001</v>
      </c>
      <c r="C198" s="1">
        <v>0</v>
      </c>
      <c r="D198" s="1">
        <v>0</v>
      </c>
      <c r="E198" s="1" t="s">
        <v>34</v>
      </c>
      <c r="F198" s="1">
        <v>55</v>
      </c>
      <c r="G198" s="2">
        <v>0.35</v>
      </c>
      <c r="H198" s="2">
        <v>5.84</v>
      </c>
      <c r="I198" s="2">
        <v>0.84</v>
      </c>
      <c r="J198" s="2">
        <v>0.84</v>
      </c>
      <c r="K198" s="1">
        <v>904036</v>
      </c>
      <c r="L198" s="3">
        <v>70.02</v>
      </c>
      <c r="M198" s="3">
        <v>108.09</v>
      </c>
      <c r="N198" s="3">
        <v>178.11</v>
      </c>
    </row>
    <row r="199" spans="1:14" x14ac:dyDescent="0.45">
      <c r="A199" s="1">
        <v>904035</v>
      </c>
      <c r="B199" s="2">
        <v>0.16</v>
      </c>
      <c r="C199" s="1">
        <v>0</v>
      </c>
      <c r="D199" s="1">
        <v>0</v>
      </c>
      <c r="E199" s="1" t="s">
        <v>34</v>
      </c>
      <c r="F199" s="1">
        <v>42</v>
      </c>
      <c r="G199" s="2">
        <v>0.14000000000000001</v>
      </c>
      <c r="H199" s="2">
        <v>2.29</v>
      </c>
      <c r="I199" s="2">
        <v>0.33</v>
      </c>
      <c r="J199" s="2">
        <v>0.33</v>
      </c>
      <c r="K199" s="1">
        <v>904035</v>
      </c>
      <c r="L199" s="3">
        <v>45.87</v>
      </c>
      <c r="M199" s="3">
        <v>30.04</v>
      </c>
      <c r="N199" s="3">
        <v>75.91</v>
      </c>
    </row>
    <row r="200" spans="1:14" x14ac:dyDescent="0.45">
      <c r="A200" s="1">
        <v>904061</v>
      </c>
      <c r="B200" s="2">
        <v>0.16</v>
      </c>
      <c r="C200" s="1">
        <v>0</v>
      </c>
      <c r="D200" s="1">
        <v>0</v>
      </c>
      <c r="E200" s="1" t="s">
        <v>34</v>
      </c>
      <c r="F200" s="1">
        <v>163</v>
      </c>
      <c r="G200" s="2">
        <v>0.24</v>
      </c>
      <c r="H200" s="2">
        <v>4.05</v>
      </c>
      <c r="I200" s="2">
        <v>0.57999999999999996</v>
      </c>
      <c r="J200" s="2">
        <v>0.57999999999999996</v>
      </c>
      <c r="K200" s="1">
        <v>904061</v>
      </c>
      <c r="L200" s="3">
        <v>8.4600000000000009</v>
      </c>
      <c r="M200" s="3">
        <v>73.12</v>
      </c>
      <c r="N200" s="3">
        <v>81.58</v>
      </c>
    </row>
    <row r="201" spans="1:14" x14ac:dyDescent="0.45">
      <c r="A201" s="1">
        <v>904076</v>
      </c>
      <c r="B201" s="2">
        <v>0.27</v>
      </c>
      <c r="C201" s="1">
        <v>0</v>
      </c>
      <c r="D201" s="1">
        <v>0</v>
      </c>
      <c r="E201" s="1" t="s">
        <v>34</v>
      </c>
      <c r="F201" s="1">
        <v>185</v>
      </c>
      <c r="G201" s="2">
        <v>0.14000000000000001</v>
      </c>
      <c r="H201" s="2">
        <v>2.37</v>
      </c>
      <c r="I201" s="2">
        <v>0.34</v>
      </c>
      <c r="J201" s="2">
        <v>0.34</v>
      </c>
      <c r="K201" s="1">
        <v>904076</v>
      </c>
      <c r="L201" s="3">
        <v>82.38</v>
      </c>
      <c r="M201" s="3">
        <v>3.56</v>
      </c>
      <c r="N201" s="3">
        <v>85.94</v>
      </c>
    </row>
    <row r="202" spans="1:14" x14ac:dyDescent="0.45">
      <c r="A202" s="1">
        <v>811014</v>
      </c>
      <c r="B202" s="2">
        <v>0.28000000000000003</v>
      </c>
      <c r="C202" s="1">
        <v>1</v>
      </c>
      <c r="D202" s="1">
        <v>1</v>
      </c>
      <c r="E202" s="1" t="s">
        <v>33</v>
      </c>
      <c r="G202" s="2">
        <v>0.28000000000000003</v>
      </c>
      <c r="H202" s="2">
        <v>4.6399999999999997</v>
      </c>
      <c r="I202" s="2">
        <v>0.44</v>
      </c>
      <c r="K202" s="1">
        <v>811014</v>
      </c>
      <c r="L202" s="3">
        <v>101.39749999999999</v>
      </c>
      <c r="M202" s="3">
        <v>4.4775</v>
      </c>
      <c r="N202" s="3">
        <v>105.875</v>
      </c>
    </row>
    <row r="203" spans="1:14" x14ac:dyDescent="0.45">
      <c r="A203" s="1">
        <v>904012</v>
      </c>
      <c r="B203" s="2">
        <v>0.21</v>
      </c>
      <c r="C203" s="1">
        <v>1</v>
      </c>
      <c r="D203" s="1">
        <v>1</v>
      </c>
      <c r="E203" s="1" t="s">
        <v>33</v>
      </c>
      <c r="G203" s="2">
        <v>0.21</v>
      </c>
      <c r="H203" s="2">
        <v>3.49</v>
      </c>
      <c r="I203" s="2">
        <v>0.66</v>
      </c>
      <c r="K203" s="1">
        <v>904012</v>
      </c>
      <c r="L203" s="3">
        <v>0.33250000000000002</v>
      </c>
      <c r="M203" s="3">
        <v>37.827500000000001</v>
      </c>
      <c r="N203" s="3">
        <v>38.159999999999997</v>
      </c>
    </row>
    <row r="204" spans="1:14" x14ac:dyDescent="0.45">
      <c r="A204" s="1">
        <v>904079</v>
      </c>
      <c r="B204" s="2">
        <v>0.39</v>
      </c>
      <c r="C204" s="1">
        <v>0</v>
      </c>
      <c r="D204" s="1">
        <v>0</v>
      </c>
      <c r="E204" s="1" t="s">
        <v>34</v>
      </c>
      <c r="F204" s="1">
        <v>60</v>
      </c>
      <c r="G204" s="2">
        <v>0.18</v>
      </c>
      <c r="H204" s="2">
        <v>3</v>
      </c>
      <c r="I204" s="2">
        <v>0.43</v>
      </c>
      <c r="J204" s="2">
        <v>0.43</v>
      </c>
      <c r="K204" s="1">
        <v>904079</v>
      </c>
      <c r="L204" s="3">
        <v>523.52</v>
      </c>
      <c r="M204" s="3">
        <v>0</v>
      </c>
      <c r="N204" s="3">
        <v>523.52</v>
      </c>
    </row>
    <row r="205" spans="1:14" x14ac:dyDescent="0.45">
      <c r="A205" s="1">
        <v>904049</v>
      </c>
      <c r="B205" s="2">
        <v>0.08</v>
      </c>
      <c r="C205" s="1">
        <v>0</v>
      </c>
      <c r="D205" s="1">
        <v>0</v>
      </c>
      <c r="E205" s="1" t="s">
        <v>34</v>
      </c>
      <c r="F205" s="1">
        <v>122</v>
      </c>
      <c r="G205" s="2">
        <v>0.2</v>
      </c>
      <c r="H205" s="2">
        <v>3.41</v>
      </c>
      <c r="I205" s="2">
        <v>0.49</v>
      </c>
      <c r="J205" s="2">
        <v>0.49</v>
      </c>
      <c r="K205" s="1">
        <v>904049</v>
      </c>
      <c r="L205" s="3">
        <v>141.71</v>
      </c>
      <c r="M205" s="3">
        <v>56.95</v>
      </c>
      <c r="N205" s="3">
        <v>198.66</v>
      </c>
    </row>
    <row r="206" spans="1:14" x14ac:dyDescent="0.45">
      <c r="A206" s="1">
        <v>904050</v>
      </c>
      <c r="B206" s="2">
        <v>0.13</v>
      </c>
      <c r="C206" s="1">
        <v>0</v>
      </c>
      <c r="D206" s="1">
        <v>0</v>
      </c>
      <c r="E206" s="1" t="s">
        <v>34</v>
      </c>
      <c r="F206" s="1">
        <v>125</v>
      </c>
      <c r="G206" s="2">
        <v>0.13</v>
      </c>
      <c r="H206" s="2">
        <v>2.17</v>
      </c>
      <c r="I206" s="2">
        <v>0.31</v>
      </c>
      <c r="J206" s="2">
        <v>0.31</v>
      </c>
      <c r="K206" s="1">
        <v>904050</v>
      </c>
      <c r="L206" s="3">
        <v>0.94</v>
      </c>
      <c r="M206" s="3">
        <v>16.47</v>
      </c>
      <c r="N206" s="3">
        <v>17.41</v>
      </c>
    </row>
    <row r="207" spans="1:14" x14ac:dyDescent="0.45">
      <c r="A207" s="1">
        <v>904041</v>
      </c>
      <c r="B207" s="2">
        <v>0.18</v>
      </c>
      <c r="C207" s="1">
        <v>0</v>
      </c>
      <c r="D207" s="1">
        <v>0</v>
      </c>
      <c r="E207" s="1" t="s">
        <v>34</v>
      </c>
      <c r="F207" s="1">
        <v>116</v>
      </c>
      <c r="G207" s="2">
        <v>0.25</v>
      </c>
      <c r="H207" s="2">
        <v>4.21</v>
      </c>
      <c r="I207" s="2">
        <v>0.61</v>
      </c>
      <c r="J207" s="2">
        <v>0.61</v>
      </c>
      <c r="K207" s="1">
        <v>904041</v>
      </c>
      <c r="L207" s="3">
        <v>2.44</v>
      </c>
      <c r="M207" s="3">
        <v>149.69999999999999</v>
      </c>
      <c r="N207" s="3">
        <v>152.13999999999999</v>
      </c>
    </row>
    <row r="208" spans="1:14" x14ac:dyDescent="0.45">
      <c r="A208" s="1">
        <v>904053</v>
      </c>
      <c r="B208" s="2">
        <v>0.36</v>
      </c>
      <c r="C208" s="1">
        <v>0</v>
      </c>
      <c r="D208" s="1">
        <v>0</v>
      </c>
      <c r="E208" s="1" t="s">
        <v>34</v>
      </c>
      <c r="F208" s="1">
        <v>66</v>
      </c>
      <c r="G208" s="2">
        <v>0.48</v>
      </c>
      <c r="H208" s="2">
        <v>7.95</v>
      </c>
      <c r="I208" s="2">
        <v>1.1499999999999999</v>
      </c>
      <c r="J208" s="2">
        <v>1.1499999999999999</v>
      </c>
      <c r="K208" s="1">
        <v>904053</v>
      </c>
      <c r="L208" s="3">
        <v>36.799999999999997</v>
      </c>
      <c r="M208" s="3">
        <v>85.06</v>
      </c>
      <c r="N208" s="3">
        <v>121.86</v>
      </c>
    </row>
    <row r="209" spans="1:14" x14ac:dyDescent="0.45">
      <c r="A209" s="1">
        <v>836145</v>
      </c>
      <c r="B209" s="2">
        <v>0.28999999999999998</v>
      </c>
      <c r="C209" s="1">
        <v>1</v>
      </c>
      <c r="D209" s="1">
        <v>1</v>
      </c>
      <c r="E209" s="1" t="s">
        <v>33</v>
      </c>
      <c r="G209" s="2">
        <v>0.28999999999999998</v>
      </c>
      <c r="H209" s="2">
        <v>4.8600000000000003</v>
      </c>
      <c r="I209" s="2">
        <v>0.36</v>
      </c>
      <c r="K209" s="1">
        <v>836145</v>
      </c>
      <c r="L209" s="3">
        <v>6.0449999999999999</v>
      </c>
      <c r="M209" s="3">
        <v>10.805</v>
      </c>
      <c r="N209" s="3">
        <v>16.850000000000001</v>
      </c>
    </row>
    <row r="210" spans="1:14" x14ac:dyDescent="0.45">
      <c r="A210" s="1">
        <v>903987</v>
      </c>
      <c r="B210" s="2">
        <v>0.1</v>
      </c>
      <c r="C210" s="1">
        <v>0</v>
      </c>
      <c r="D210" s="1">
        <v>1</v>
      </c>
      <c r="E210" s="1" t="s">
        <v>33</v>
      </c>
      <c r="G210" s="2">
        <v>0.1</v>
      </c>
      <c r="H210" s="2">
        <v>1.67</v>
      </c>
      <c r="I210" s="2">
        <v>0.16</v>
      </c>
      <c r="J210" s="2">
        <v>0.21</v>
      </c>
      <c r="K210" s="1">
        <v>903987</v>
      </c>
      <c r="L210" s="3">
        <v>2.9275000000000002</v>
      </c>
      <c r="M210" s="3">
        <v>39.29</v>
      </c>
      <c r="N210" s="3">
        <v>42.217500000000001</v>
      </c>
    </row>
    <row r="211" spans="1:14" x14ac:dyDescent="0.45">
      <c r="A211" s="1">
        <v>903998</v>
      </c>
      <c r="B211" s="2">
        <v>0.24</v>
      </c>
      <c r="C211" s="1">
        <v>1</v>
      </c>
      <c r="D211" s="1">
        <v>1</v>
      </c>
      <c r="E211" s="1" t="s">
        <v>33</v>
      </c>
      <c r="G211" s="2">
        <v>0.24</v>
      </c>
      <c r="H211" s="2">
        <v>4.0599999999999996</v>
      </c>
      <c r="I211" s="2">
        <v>0.35</v>
      </c>
      <c r="K211" s="1">
        <v>903998</v>
      </c>
      <c r="L211" s="3">
        <v>19.05</v>
      </c>
      <c r="M211" s="3">
        <v>52.78</v>
      </c>
      <c r="N211" s="3">
        <v>71.83</v>
      </c>
    </row>
    <row r="212" spans="1:14" x14ac:dyDescent="0.45">
      <c r="A212" s="1">
        <v>903989</v>
      </c>
      <c r="B212" s="2">
        <v>0.15</v>
      </c>
      <c r="C212" s="1">
        <v>1</v>
      </c>
      <c r="D212" s="1">
        <v>1</v>
      </c>
      <c r="E212" s="1" t="s">
        <v>33</v>
      </c>
      <c r="G212" s="2">
        <v>0.15</v>
      </c>
      <c r="H212" s="2">
        <v>2.48</v>
      </c>
      <c r="I212" s="2">
        <v>0.3</v>
      </c>
      <c r="K212" s="1">
        <v>903989</v>
      </c>
      <c r="L212" s="3">
        <v>25.75</v>
      </c>
      <c r="M212" s="3">
        <v>116.9175</v>
      </c>
      <c r="N212" s="3">
        <v>142.66749999999999</v>
      </c>
    </row>
    <row r="213" spans="1:14" x14ac:dyDescent="0.45">
      <c r="A213" s="1">
        <v>904088</v>
      </c>
      <c r="B213" s="2">
        <v>1.1499999999999999</v>
      </c>
      <c r="C213" s="1">
        <v>0</v>
      </c>
      <c r="D213" s="1">
        <v>5</v>
      </c>
      <c r="E213" s="1" t="s">
        <v>32</v>
      </c>
      <c r="G213" s="2">
        <v>1.1499999999999999</v>
      </c>
      <c r="H213" s="2">
        <v>99999</v>
      </c>
      <c r="I213" s="2">
        <v>1.38</v>
      </c>
      <c r="J213" s="2">
        <v>1.38</v>
      </c>
      <c r="K213" s="1">
        <v>904088</v>
      </c>
      <c r="L213" s="3">
        <v>0</v>
      </c>
      <c r="M213" s="3">
        <v>0</v>
      </c>
      <c r="N213" s="3">
        <v>0</v>
      </c>
    </row>
    <row r="214" spans="1:14" x14ac:dyDescent="0.45">
      <c r="A214" s="1">
        <v>903978</v>
      </c>
      <c r="B214" s="2">
        <v>0.1</v>
      </c>
      <c r="C214" s="1">
        <v>1</v>
      </c>
      <c r="D214" s="1">
        <v>1</v>
      </c>
      <c r="E214" s="1" t="s">
        <v>33</v>
      </c>
      <c r="G214" s="2">
        <v>0.1</v>
      </c>
      <c r="H214" s="2">
        <v>1.73</v>
      </c>
      <c r="I214" s="2">
        <v>0.16</v>
      </c>
      <c r="K214" s="1">
        <v>903978</v>
      </c>
      <c r="L214" s="3">
        <v>0</v>
      </c>
      <c r="M214" s="3">
        <v>0</v>
      </c>
      <c r="N214" s="3">
        <v>0</v>
      </c>
    </row>
    <row r="215" spans="1:14" x14ac:dyDescent="0.45">
      <c r="A215" s="1">
        <v>904117</v>
      </c>
      <c r="B215" s="2">
        <v>0.59</v>
      </c>
      <c r="C215" s="1">
        <v>0</v>
      </c>
      <c r="D215" s="1">
        <v>5</v>
      </c>
      <c r="E215" s="1" t="s">
        <v>32</v>
      </c>
      <c r="G215" s="2">
        <v>0.59</v>
      </c>
      <c r="H215" s="2">
        <v>99999</v>
      </c>
      <c r="I215" s="2">
        <v>0.71</v>
      </c>
      <c r="J215" s="2">
        <v>0.71</v>
      </c>
      <c r="K215" s="1">
        <v>904117</v>
      </c>
      <c r="L215" s="3">
        <v>0</v>
      </c>
      <c r="M215" s="3">
        <v>0</v>
      </c>
      <c r="N215" s="3">
        <v>0</v>
      </c>
    </row>
    <row r="216" spans="1:14" x14ac:dyDescent="0.45">
      <c r="A216" s="1">
        <v>904104</v>
      </c>
      <c r="B216" s="2">
        <v>0.02</v>
      </c>
      <c r="C216" s="1">
        <v>0</v>
      </c>
      <c r="D216" s="1">
        <v>3</v>
      </c>
      <c r="E216" s="1" t="s">
        <v>31</v>
      </c>
      <c r="G216" s="2">
        <v>0.02</v>
      </c>
      <c r="H216" s="2">
        <v>0.35</v>
      </c>
      <c r="I216" s="2">
        <v>99999</v>
      </c>
      <c r="J216" s="2">
        <v>99999</v>
      </c>
      <c r="K216" s="1">
        <v>904104</v>
      </c>
      <c r="L216" s="3">
        <v>136.4375</v>
      </c>
      <c r="M216" s="3">
        <v>184.35</v>
      </c>
      <c r="N216" s="3">
        <v>320.78750000000002</v>
      </c>
    </row>
    <row r="217" spans="1:14" x14ac:dyDescent="0.45">
      <c r="A217" s="1">
        <v>904105</v>
      </c>
      <c r="B217" s="2">
        <v>0.02</v>
      </c>
      <c r="C217" s="1">
        <v>0</v>
      </c>
      <c r="D217" s="1">
        <v>3</v>
      </c>
      <c r="E217" s="1" t="s">
        <v>31</v>
      </c>
      <c r="G217" s="2">
        <v>0.02</v>
      </c>
      <c r="H217" s="2">
        <v>0.42</v>
      </c>
      <c r="I217" s="2">
        <v>99999</v>
      </c>
      <c r="J217" s="2">
        <v>99999</v>
      </c>
      <c r="K217" s="1">
        <v>904105</v>
      </c>
      <c r="L217" s="3">
        <v>38.637500000000003</v>
      </c>
      <c r="M217" s="3">
        <v>158.21</v>
      </c>
      <c r="N217" s="3">
        <v>196.8475</v>
      </c>
    </row>
    <row r="218" spans="1:14" x14ac:dyDescent="0.45">
      <c r="A218" s="1">
        <v>904106</v>
      </c>
      <c r="B218" s="2">
        <v>0.03</v>
      </c>
      <c r="C218" s="1">
        <v>0</v>
      </c>
      <c r="D218" s="1">
        <v>3</v>
      </c>
      <c r="E218" s="1" t="s">
        <v>31</v>
      </c>
      <c r="G218" s="2">
        <v>0.03</v>
      </c>
      <c r="H218" s="2">
        <v>0.53</v>
      </c>
      <c r="I218" s="2">
        <v>99999</v>
      </c>
      <c r="J218" s="2">
        <v>99999</v>
      </c>
      <c r="K218" s="1">
        <v>904106</v>
      </c>
      <c r="L218" s="3">
        <v>67.102500000000006</v>
      </c>
      <c r="M218" s="3">
        <v>127.78</v>
      </c>
      <c r="N218" s="3">
        <v>194.88249999999999</v>
      </c>
    </row>
    <row r="219" spans="1:14" x14ac:dyDescent="0.45">
      <c r="A219" s="1">
        <v>904107</v>
      </c>
      <c r="B219" s="2">
        <v>0.56999999999999995</v>
      </c>
      <c r="C219" s="1">
        <v>0</v>
      </c>
      <c r="D219" s="1">
        <v>5</v>
      </c>
      <c r="E219" s="1" t="s">
        <v>32</v>
      </c>
      <c r="G219" s="2">
        <v>0.56999999999999995</v>
      </c>
      <c r="H219" s="2">
        <v>99999</v>
      </c>
      <c r="I219" s="2">
        <v>0.69</v>
      </c>
      <c r="J219" s="2">
        <v>0.69</v>
      </c>
      <c r="K219" s="1">
        <v>904107</v>
      </c>
      <c r="L219" s="3">
        <v>0</v>
      </c>
      <c r="M219" s="3">
        <v>0</v>
      </c>
      <c r="N219" s="3">
        <v>0</v>
      </c>
    </row>
    <row r="220" spans="1:14" x14ac:dyDescent="0.45">
      <c r="A220" s="1">
        <v>904108</v>
      </c>
      <c r="B220" s="2">
        <v>7.0000000000000007E-2</v>
      </c>
      <c r="C220" s="1">
        <v>0</v>
      </c>
      <c r="D220" s="1">
        <v>3</v>
      </c>
      <c r="E220" s="1" t="s">
        <v>31</v>
      </c>
      <c r="G220" s="2">
        <v>7.0000000000000007E-2</v>
      </c>
      <c r="H220" s="2">
        <v>1.1599999999999999</v>
      </c>
      <c r="I220" s="2">
        <v>99999</v>
      </c>
      <c r="J220" s="2">
        <v>99999</v>
      </c>
      <c r="K220" s="1">
        <v>904108</v>
      </c>
      <c r="L220" s="3">
        <v>6.33</v>
      </c>
      <c r="M220" s="3">
        <v>17.82</v>
      </c>
      <c r="N220" s="3">
        <v>24.15</v>
      </c>
    </row>
    <row r="221" spans="1:14" x14ac:dyDescent="0.45">
      <c r="A221" s="1">
        <v>904109</v>
      </c>
      <c r="B221" s="2">
        <v>0.12</v>
      </c>
      <c r="C221" s="1">
        <v>0</v>
      </c>
      <c r="D221" s="1">
        <v>3</v>
      </c>
      <c r="E221" s="1" t="s">
        <v>31</v>
      </c>
      <c r="G221" s="2">
        <v>0.12</v>
      </c>
      <c r="H221" s="2">
        <v>2.06</v>
      </c>
      <c r="I221" s="2">
        <v>99999</v>
      </c>
      <c r="J221" s="2">
        <v>99999</v>
      </c>
      <c r="K221" s="1">
        <v>904109</v>
      </c>
      <c r="L221" s="3">
        <v>79.954999999999998</v>
      </c>
      <c r="M221" s="3">
        <v>3.54</v>
      </c>
      <c r="N221" s="3">
        <v>83.495000000000005</v>
      </c>
    </row>
    <row r="222" spans="1:14" x14ac:dyDescent="0.45">
      <c r="A222" s="1">
        <v>904110</v>
      </c>
      <c r="B222" s="2">
        <v>0.11</v>
      </c>
      <c r="C222" s="1">
        <v>0</v>
      </c>
      <c r="D222" s="1">
        <v>3</v>
      </c>
      <c r="E222" s="1" t="s">
        <v>31</v>
      </c>
      <c r="G222" s="2">
        <v>0.11</v>
      </c>
      <c r="H222" s="2">
        <v>1.81</v>
      </c>
      <c r="I222" s="2">
        <v>99999</v>
      </c>
      <c r="J222" s="2">
        <v>99999</v>
      </c>
      <c r="K222" s="1">
        <v>904110</v>
      </c>
      <c r="L222" s="3">
        <v>2.6225000000000001</v>
      </c>
      <c r="M222" s="3">
        <v>12.82</v>
      </c>
      <c r="N222" s="3">
        <v>15.442500000000001</v>
      </c>
    </row>
    <row r="223" spans="1:14" x14ac:dyDescent="0.45">
      <c r="A223" s="1">
        <v>904111</v>
      </c>
      <c r="B223" s="2">
        <v>0.08</v>
      </c>
      <c r="C223" s="1">
        <v>0</v>
      </c>
      <c r="D223" s="1">
        <v>3</v>
      </c>
      <c r="E223" s="1" t="s">
        <v>31</v>
      </c>
      <c r="G223" s="2">
        <v>0.08</v>
      </c>
      <c r="H223" s="2">
        <v>1.39</v>
      </c>
      <c r="I223" s="2">
        <v>99999</v>
      </c>
      <c r="J223" s="2">
        <v>99999</v>
      </c>
      <c r="K223" s="1">
        <v>904111</v>
      </c>
      <c r="L223" s="3">
        <v>20.734999999999999</v>
      </c>
      <c r="M223" s="3">
        <v>167.74</v>
      </c>
      <c r="N223" s="3">
        <v>188.47499999999999</v>
      </c>
    </row>
    <row r="224" spans="1:14" x14ac:dyDescent="0.45">
      <c r="A224" s="1">
        <v>904112</v>
      </c>
      <c r="B224" s="2">
        <v>7.0000000000000007E-2</v>
      </c>
      <c r="C224" s="1">
        <v>0</v>
      </c>
      <c r="D224" s="1">
        <v>3</v>
      </c>
      <c r="E224" s="1" t="s">
        <v>31</v>
      </c>
      <c r="G224" s="2">
        <v>7.0000000000000007E-2</v>
      </c>
      <c r="H224" s="2">
        <v>1.0900000000000001</v>
      </c>
      <c r="I224" s="2">
        <v>99999</v>
      </c>
      <c r="J224" s="2">
        <v>99999</v>
      </c>
      <c r="K224" s="1">
        <v>904112</v>
      </c>
      <c r="L224" s="3">
        <v>68.92</v>
      </c>
      <c r="M224" s="3">
        <v>45.575000000000003</v>
      </c>
      <c r="N224" s="3">
        <v>114.495</v>
      </c>
    </row>
    <row r="225" spans="1:14" x14ac:dyDescent="0.45">
      <c r="A225" s="1">
        <v>904113</v>
      </c>
      <c r="B225" s="2">
        <v>0.09</v>
      </c>
      <c r="C225" s="1">
        <v>0</v>
      </c>
      <c r="D225" s="1">
        <v>3</v>
      </c>
      <c r="E225" s="1" t="s">
        <v>31</v>
      </c>
      <c r="G225" s="2">
        <v>0.09</v>
      </c>
      <c r="H225" s="2">
        <v>1.56</v>
      </c>
      <c r="I225" s="2">
        <v>99999</v>
      </c>
      <c r="J225" s="2">
        <v>99999</v>
      </c>
      <c r="K225" s="1">
        <v>904113</v>
      </c>
      <c r="L225" s="3">
        <v>15.717499999999999</v>
      </c>
      <c r="M225" s="3">
        <v>89.765000000000001</v>
      </c>
      <c r="N225" s="3">
        <v>105.4825</v>
      </c>
    </row>
    <row r="226" spans="1:14" x14ac:dyDescent="0.45">
      <c r="A226" s="1">
        <v>904120</v>
      </c>
      <c r="B226" s="2">
        <v>0.12</v>
      </c>
      <c r="C226" s="1">
        <v>0</v>
      </c>
      <c r="D226" s="1">
        <v>5</v>
      </c>
      <c r="E226" s="1" t="s">
        <v>32</v>
      </c>
      <c r="H226" s="2">
        <v>99999</v>
      </c>
      <c r="I226" s="2">
        <v>0.14000000000000001</v>
      </c>
      <c r="J226" s="2">
        <v>0.14000000000000001</v>
      </c>
      <c r="K226" s="1">
        <v>904120</v>
      </c>
      <c r="L226" s="3">
        <v>0</v>
      </c>
      <c r="M226" s="3">
        <v>0</v>
      </c>
      <c r="N226" s="3">
        <v>0</v>
      </c>
    </row>
    <row r="227" spans="1:14" x14ac:dyDescent="0.45">
      <c r="A227" s="1">
        <v>904115</v>
      </c>
      <c r="B227" s="2">
        <v>0.08</v>
      </c>
      <c r="C227" s="1">
        <v>0</v>
      </c>
      <c r="D227" s="1">
        <v>3</v>
      </c>
      <c r="E227" s="1" t="s">
        <v>31</v>
      </c>
      <c r="G227" s="2">
        <v>0.08</v>
      </c>
      <c r="H227" s="2">
        <v>1.4</v>
      </c>
      <c r="I227" s="2">
        <v>99999</v>
      </c>
      <c r="J227" s="2">
        <v>99999</v>
      </c>
      <c r="K227" s="1">
        <v>904115</v>
      </c>
      <c r="L227" s="3">
        <v>226.815</v>
      </c>
      <c r="M227" s="3">
        <v>284.30500000000001</v>
      </c>
      <c r="N227" s="3">
        <v>511.12</v>
      </c>
    </row>
    <row r="228" spans="1:14" x14ac:dyDescent="0.45">
      <c r="A228" s="1">
        <v>904119</v>
      </c>
      <c r="B228" s="2">
        <v>0.06</v>
      </c>
      <c r="C228" s="1">
        <v>0</v>
      </c>
      <c r="D228" s="1">
        <v>3</v>
      </c>
      <c r="E228" s="1" t="s">
        <v>31</v>
      </c>
      <c r="G228" s="2">
        <v>0.06</v>
      </c>
      <c r="H228" s="2">
        <v>1.08</v>
      </c>
      <c r="I228" s="2">
        <v>99999</v>
      </c>
      <c r="J228" s="2">
        <v>99999</v>
      </c>
      <c r="K228" s="1">
        <v>904119</v>
      </c>
      <c r="L228" s="3">
        <v>53.234999999999999</v>
      </c>
      <c r="M228" s="3">
        <v>477.4375</v>
      </c>
      <c r="N228" s="3">
        <v>530.67250000000001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LINES</vt:lpstr>
      <vt:lpstr>T_FLOW</vt:lpstr>
      <vt:lpstr>Line_02</vt:lpstr>
      <vt:lpstr>Line_03A</vt:lpstr>
      <vt:lpstr>Line_03B</vt:lpstr>
      <vt:lpstr>Line_04</vt:lpstr>
      <vt:lpstr>ONOFF</vt:lpstr>
      <vt:lpstr>PED_F</vt:lpstr>
      <vt:lpstr>Line_01</vt:lpstr>
      <vt:lpstr>ONOFF!Database</vt:lpstr>
      <vt:lpstr>PED_F!Database</vt:lpstr>
      <vt:lpstr>T_FLOW!Database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HAMED BAKHTIARIZADEH</cp:lastModifiedBy>
  <dcterms:created xsi:type="dcterms:W3CDTF">2025-06-09T04:56:09Z</dcterms:created>
  <dcterms:modified xsi:type="dcterms:W3CDTF">2025-07-07T12:04:32Z</dcterms:modified>
</cp:coreProperties>
</file>